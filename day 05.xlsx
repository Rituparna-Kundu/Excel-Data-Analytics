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4BB92677-760C-4CD2-B239-CDCEFADBE89F}" xr6:coauthVersionLast="47" xr6:coauthVersionMax="47" xr10:uidLastSave="{00000000-0000-0000-0000-000000000000}"/>
  <bookViews>
    <workbookView xWindow="-108" yWindow="-108" windowWidth="23256" windowHeight="12456" activeTab="1" xr2:uid="{0DDA232A-4094-487C-91CA-289EFE2E028A}"/>
  </bookViews>
  <sheets>
    <sheet name="SUB" sheetId="1" r:id="rId1"/>
    <sheet name="PIVOT" sheetId="4" r:id="rId2"/>
    <sheet name="MAIN" sheetId="3" r:id="rId3"/>
  </sheets>
  <definedNames>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 l="1"/>
  <c r="D5" i="1"/>
  <c r="G3" i="1"/>
  <c r="G4" i="1"/>
  <c r="G5" i="1"/>
  <c r="F3" i="1"/>
  <c r="F4" i="1"/>
  <c r="F5" i="1"/>
  <c r="E3" i="1"/>
  <c r="E4" i="1"/>
  <c r="E5" i="1"/>
  <c r="Q5" i="4"/>
  <c r="Q4" i="4"/>
  <c r="G2" i="1"/>
  <c r="F2" i="1"/>
  <c r="E2" i="1"/>
  <c r="D3" i="1"/>
</calcChain>
</file>

<file path=xl/sharedStrings.xml><?xml version="1.0" encoding="utf-8"?>
<sst xmlns="http://schemas.openxmlformats.org/spreadsheetml/2006/main" count="69" uniqueCount="35">
  <si>
    <t>EMPLOYEE ID</t>
  </si>
  <si>
    <t>NAME</t>
  </si>
  <si>
    <t>REGION</t>
  </si>
  <si>
    <t>PRODUCT</t>
  </si>
  <si>
    <t>E101</t>
  </si>
  <si>
    <t>E102</t>
  </si>
  <si>
    <t>E103</t>
  </si>
  <si>
    <t>E104</t>
  </si>
  <si>
    <t>E105</t>
  </si>
  <si>
    <t>E106</t>
  </si>
  <si>
    <t>E107</t>
  </si>
  <si>
    <t>E108</t>
  </si>
  <si>
    <t>E109</t>
  </si>
  <si>
    <t>E110</t>
  </si>
  <si>
    <t>RAHIM</t>
  </si>
  <si>
    <t>KARIM</t>
  </si>
  <si>
    <t>NABILA</t>
  </si>
  <si>
    <t>TANVIR</t>
  </si>
  <si>
    <t>SOMA</t>
  </si>
  <si>
    <t>HASAN</t>
  </si>
  <si>
    <t>ALI</t>
  </si>
  <si>
    <t xml:space="preserve">ARIF </t>
  </si>
  <si>
    <t>MIM</t>
  </si>
  <si>
    <t>JANNAT</t>
  </si>
  <si>
    <t>DHAKA</t>
  </si>
  <si>
    <t>CHITTAGONG</t>
  </si>
  <si>
    <t>RAJSHAHI</t>
  </si>
  <si>
    <t>SYLHET</t>
  </si>
  <si>
    <t>KHULNA</t>
  </si>
  <si>
    <t>LAPTOP</t>
  </si>
  <si>
    <t xml:space="preserve">MOBILE </t>
  </si>
  <si>
    <t>TABLET</t>
  </si>
  <si>
    <t>SALES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</si>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</sst>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0"/>
      <color theme="1"/>
      <name val="Bahnschrift SemiBold SemiConden"/>
      <family val="2"/>
    </font>
  </fonts>
  <fills count="5">
    <fill>
      <patternFill patternType="none"/>
    </fill>
    <fill>
      <patternFill patternType="gray125"/>
    </fill>
    <fill>
      <patternFill patternType="solid">
        <fgColor theme="4"/>
      </patternFill>
    </fill>
    <fill>
      <patternFill patternType="solid">
        <fgColor theme="5"/>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7">
    <xf numFmtId="0" fontId="0" fillId="0" borderId="0" xfId="0"/>
    <xf numFmtId="0" fontId="1" fillId="2" borderId="0" xfId="1"/>
    <xf numFmtId="0" fontId="1" fillId="3" borderId="0" xfId="2"/>
    <xf numFmtId="0" fontId="0" fillId="0" borderId="0" xfId="0" pivotButton="1"/>
    <xf numFmtId="0" fontId="0" fillId="0" borderId="0" xfId="0" applyAlignment="1">
      <alignment horizontal="left"/>
    </xf>
    <xf numFmtId="0" fontId="2" fillId="4" borderId="1" xfId="0" applyFont="1" applyFill="1" applyBorder="1" applyAlignment="1">
      <alignment horizontal="left" vertical="center"/>
    </xf>
    <xf numFmtId="0" fontId="2" fillId="4" borderId="2" xfId="0" applyFont="1" applyFill="1" applyBorder="1" applyAlignment="1">
      <alignment horizontal="left" vertical="center"/>
    </xf>
  </cellXfs>
  <cellStyles count="3">
    <cellStyle name="Accent1" xfId="1" builtinId="29"/>
    <cellStyle name="Accent2" xfId="2" builtinId="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05.xlsx]PIVOT!PivotTable1</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sz="1400" b="0" i="0" u="none" strike="noStrike" baseline="0">
                <a:ln>
                  <a:solidFill>
                    <a:schemeClr val="tx1"/>
                  </a:solidFill>
                </a:ln>
                <a:solidFill>
                  <a:schemeClr val="tx1"/>
                </a:solidFill>
              </a:rPr>
              <a:t>Region-wise Total Sales</a:t>
            </a:r>
            <a:endParaRPr lang="en-US">
              <a:ln>
                <a:solidFill>
                  <a:schemeClr val="tx1"/>
                </a:solidFill>
              </a:ln>
              <a:solidFill>
                <a:schemeClr val="tx1"/>
              </a:solidFill>
            </a:endParaRPr>
          </a:p>
        </c:rich>
      </c:tx>
      <c:overlay val="0"/>
      <c:spPr>
        <a:solidFill>
          <a:srgbClr val="00B0F0"/>
        </a:solidFill>
        <a:ln>
          <a:solidFill>
            <a:schemeClr val="tx1"/>
          </a:solid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39590703335996"/>
          <c:y val="0.15093622680542948"/>
          <c:w val="0.74906207376251877"/>
          <c:h val="0.52751015037329452"/>
        </c:manualLayout>
      </c:layout>
      <c:bar3DChart>
        <c:barDir val="col"/>
        <c:grouping val="standard"/>
        <c:varyColors val="0"/>
        <c:ser>
          <c:idx val="0"/>
          <c:order val="0"/>
          <c:tx>
            <c:strRef>
              <c:f>PIVOT!$B$3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CHITTAGONG</c:v>
                </c:pt>
                <c:pt idx="1">
                  <c:v>DHAKA</c:v>
                </c:pt>
                <c:pt idx="2">
                  <c:v>KHULNA</c:v>
                </c:pt>
                <c:pt idx="3">
                  <c:v>RAJSHAHI</c:v>
                </c:pt>
                <c:pt idx="4">
                  <c:v>SYLHET</c:v>
                </c:pt>
              </c:strCache>
            </c:strRef>
          </c:cat>
          <c:val>
            <c:numRef>
              <c:f>PIVOT!$B$4:$B$9</c:f>
              <c:numCache>
                <c:formatCode>General</c:formatCode>
                <c:ptCount val="5"/>
                <c:pt idx="0">
                  <c:v>74000</c:v>
                </c:pt>
                <c:pt idx="1">
                  <c:v>40000</c:v>
                </c:pt>
                <c:pt idx="2">
                  <c:v>118000</c:v>
                </c:pt>
                <c:pt idx="3">
                  <c:v>67000</c:v>
                </c:pt>
                <c:pt idx="4">
                  <c:v>48000</c:v>
                </c:pt>
              </c:numCache>
            </c:numRef>
          </c:val>
          <c:extLst>
            <c:ext xmlns:c16="http://schemas.microsoft.com/office/drawing/2014/chart" uri="{C3380CC4-5D6E-409C-BE32-E72D297353CC}">
              <c16:uniqueId val="{00000000-AE5B-4CAE-8031-D2A6B7D956E5}"/>
            </c:ext>
          </c:extLst>
        </c:ser>
        <c:dLbls>
          <c:showLegendKey val="0"/>
          <c:showVal val="1"/>
          <c:showCatName val="0"/>
          <c:showSerName val="0"/>
          <c:showPercent val="0"/>
          <c:showBubbleSize val="0"/>
        </c:dLbls>
        <c:gapWidth val="150"/>
        <c:shape val="box"/>
        <c:axId val="406378952"/>
        <c:axId val="408004112"/>
        <c:axId val="566178680"/>
      </c:bar3DChart>
      <c:catAx>
        <c:axId val="406378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04112"/>
        <c:crosses val="autoZero"/>
        <c:auto val="1"/>
        <c:lblAlgn val="ctr"/>
        <c:lblOffset val="100"/>
        <c:noMultiLvlLbl val="0"/>
      </c:catAx>
      <c:valAx>
        <c:axId val="40800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78952"/>
        <c:crosses val="autoZero"/>
        <c:crossBetween val="between"/>
      </c:valAx>
      <c:serAx>
        <c:axId val="566178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041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05.xlsx]PIVOT!PivotTable2</c:name>
    <c:fmtId val="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sz="1400" b="0" i="0" u="none" strike="noStrike" baseline="0">
                <a:ln>
                  <a:solidFill>
                    <a:schemeClr val="tx1"/>
                  </a:solidFill>
                </a:ln>
                <a:solidFill>
                  <a:schemeClr val="tx1"/>
                </a:solidFill>
              </a:rPr>
              <a:t>Product-wise Total Sales</a:t>
            </a:r>
            <a:endParaRPr lang="en-US">
              <a:ln>
                <a:solidFill>
                  <a:schemeClr val="tx1"/>
                </a:solidFill>
              </a:ln>
              <a:solidFill>
                <a:schemeClr val="tx1"/>
              </a:solidFill>
            </a:endParaRPr>
          </a:p>
        </c:rich>
      </c:tx>
      <c:overlay val="0"/>
      <c:spPr>
        <a:solidFill>
          <a:srgbClr val="00B0F0"/>
        </a:solid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LAPTOP</c:v>
                </c:pt>
                <c:pt idx="1">
                  <c:v>MOBILE </c:v>
                </c:pt>
                <c:pt idx="2">
                  <c:v>TABLET</c:v>
                </c:pt>
              </c:strCache>
            </c:strRef>
          </c:cat>
          <c:val>
            <c:numRef>
              <c:f>PIVOT!$E$4:$E$7</c:f>
              <c:numCache>
                <c:formatCode>General</c:formatCode>
                <c:ptCount val="3"/>
                <c:pt idx="0">
                  <c:v>188000</c:v>
                </c:pt>
                <c:pt idx="1">
                  <c:v>104000</c:v>
                </c:pt>
                <c:pt idx="2">
                  <c:v>55000</c:v>
                </c:pt>
              </c:numCache>
            </c:numRef>
          </c:val>
          <c:extLst>
            <c:ext xmlns:c16="http://schemas.microsoft.com/office/drawing/2014/chart" uri="{C3380CC4-5D6E-409C-BE32-E72D297353CC}">
              <c16:uniqueId val="{00000000-B022-4D73-9C48-C012169D79FF}"/>
            </c:ext>
          </c:extLst>
        </c:ser>
        <c:dLbls>
          <c:showLegendKey val="0"/>
          <c:showVal val="1"/>
          <c:showCatName val="0"/>
          <c:showSerName val="0"/>
          <c:showPercent val="0"/>
          <c:showBubbleSize val="0"/>
        </c:dLbls>
        <c:gapWidth val="150"/>
        <c:shape val="box"/>
        <c:axId val="627653504"/>
        <c:axId val="627654224"/>
        <c:axId val="0"/>
      </c:bar3DChart>
      <c:catAx>
        <c:axId val="62765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54224"/>
        <c:crosses val="autoZero"/>
        <c:auto val="1"/>
        <c:lblAlgn val="ctr"/>
        <c:lblOffset val="100"/>
        <c:noMultiLvlLbl val="0"/>
      </c:catAx>
      <c:valAx>
        <c:axId val="62765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5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05.xlsx]PIVOT!PivotTable1</c:name>
    <c:fmtId val="1"/>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sz="1400" b="0" i="0" u="none" strike="noStrike" baseline="0">
                <a:ln>
                  <a:solidFill>
                    <a:schemeClr val="tx1"/>
                  </a:solidFill>
                </a:ln>
                <a:solidFill>
                  <a:schemeClr val="tx1"/>
                </a:solidFill>
              </a:rPr>
              <a:t>Sales Distribution by Region (%)</a:t>
            </a:r>
            <a:endParaRPr lang="en-US">
              <a:ln>
                <a:solidFill>
                  <a:schemeClr val="tx1"/>
                </a:solidFill>
              </a:ln>
              <a:solidFill>
                <a:schemeClr val="tx1"/>
              </a:solidFill>
            </a:endParaRPr>
          </a:p>
        </c:rich>
      </c:tx>
      <c:overlay val="0"/>
      <c:spPr>
        <a:solidFill>
          <a:srgbClr val="00B0F0"/>
        </a:solid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87-4E22-A467-E0839CF9D2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87-4E22-A467-E0839CF9D2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87-4E22-A467-E0839CF9D2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87-4E22-A467-E0839CF9D2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87-4E22-A467-E0839CF9D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CHITTAGONG</c:v>
                </c:pt>
                <c:pt idx="1">
                  <c:v>DHAKA</c:v>
                </c:pt>
                <c:pt idx="2">
                  <c:v>KHULNA</c:v>
                </c:pt>
                <c:pt idx="3">
                  <c:v>RAJSHAHI</c:v>
                </c:pt>
                <c:pt idx="4">
                  <c:v>SYLHET</c:v>
                </c:pt>
              </c:strCache>
            </c:strRef>
          </c:cat>
          <c:val>
            <c:numRef>
              <c:f>PIVOT!$B$4:$B$9</c:f>
              <c:numCache>
                <c:formatCode>General</c:formatCode>
                <c:ptCount val="5"/>
                <c:pt idx="0">
                  <c:v>74000</c:v>
                </c:pt>
                <c:pt idx="1">
                  <c:v>40000</c:v>
                </c:pt>
                <c:pt idx="2">
                  <c:v>118000</c:v>
                </c:pt>
                <c:pt idx="3">
                  <c:v>67000</c:v>
                </c:pt>
                <c:pt idx="4">
                  <c:v>48000</c:v>
                </c:pt>
              </c:numCache>
            </c:numRef>
          </c:val>
          <c:extLst>
            <c:ext xmlns:c16="http://schemas.microsoft.com/office/drawing/2014/chart" uri="{C3380CC4-5D6E-409C-BE32-E72D297353CC}">
              <c16:uniqueId val="{00000000-648D-4B88-ABE9-1F3D76DFE1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167640</xdr:colOff>
      <xdr:row>11</xdr:row>
      <xdr:rowOff>0</xdr:rowOff>
    </xdr:from>
    <xdr:to>
      <xdr:col>4</xdr:col>
      <xdr:colOff>685800</xdr:colOff>
      <xdr:row>26</xdr:row>
      <xdr:rowOff>99060</xdr:rowOff>
    </xdr:to>
    <xdr:graphicFrame macro="">
      <xdr:nvGraphicFramePr>
        <xdr:cNvPr id="2" name="Chart 1">
          <a:extLst>
            <a:ext uri="{FF2B5EF4-FFF2-40B4-BE49-F238E27FC236}">
              <a16:creationId xmlns:a16="http://schemas.microsoft.com/office/drawing/2014/main" id="{46E76D45-26AB-9358-F24E-F4D3F9457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11</xdr:row>
      <xdr:rowOff>80010</xdr:rowOff>
    </xdr:from>
    <xdr:to>
      <xdr:col>11</xdr:col>
      <xdr:colOff>358140</xdr:colOff>
      <xdr:row>26</xdr:row>
      <xdr:rowOff>80010</xdr:rowOff>
    </xdr:to>
    <xdr:graphicFrame macro="">
      <xdr:nvGraphicFramePr>
        <xdr:cNvPr id="3" name="Chart 2">
          <a:extLst>
            <a:ext uri="{FF2B5EF4-FFF2-40B4-BE49-F238E27FC236}">
              <a16:creationId xmlns:a16="http://schemas.microsoft.com/office/drawing/2014/main" id="{86951C02-950B-636A-63FF-B59BF27AE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236220</xdr:colOff>
      <xdr:row>11</xdr:row>
      <xdr:rowOff>91440</xdr:rowOff>
    </xdr:from>
    <xdr:to>
      <xdr:col>18</xdr:col>
      <xdr:colOff>289560</xdr:colOff>
      <xdr:row>26</xdr:row>
      <xdr:rowOff>106680</xdr:rowOff>
    </xdr:to>
    <xdr:graphicFrame macro="">
      <xdr:nvGraphicFramePr>
        <xdr:cNvPr id="4" name="Chart 3">
          <a:extLst>
            <a:ext uri="{FF2B5EF4-FFF2-40B4-BE49-F238E27FC236}">
              <a16:creationId xmlns:a16="http://schemas.microsoft.com/office/drawing/2014/main" id="{12AF8B33-F506-1554-817D-5E78B85E8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266700</xdr:colOff>
      <xdr:row>1</xdr:row>
      <xdr:rowOff>152401</xdr:rowOff>
    </xdr:from>
    <xdr:to>
      <xdr:col>13</xdr:col>
      <xdr:colOff>266700</xdr:colOff>
      <xdr:row>10</xdr:row>
      <xdr:rowOff>15240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9B30451-7111-0834-28C3-47A0E43203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34300" y="335281"/>
              <a:ext cx="182880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220980</xdr:colOff>
      <xdr:row>2</xdr:row>
      <xdr:rowOff>1</xdr:rowOff>
    </xdr:from>
    <xdr:to>
      <xdr:col>9</xdr:col>
      <xdr:colOff>579120</xdr:colOff>
      <xdr:row>8</xdr:row>
      <xdr:rowOff>167640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5C30CB28-27B8-C37B-CB47-40BA88E3E1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608320" y="365761"/>
              <a:ext cx="182880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7.554978935186" createdVersion="8" refreshedVersion="8" minRefreshableVersion="3" recordCount="10" xr:uid="{60DA3C99-B6E0-4857-A881-3D4B2DD01009}">
  <cacheSource type="worksheet">
    <worksheetSource ref="I1:M11" sheet="MAIN"/>
  </cacheSource>
  <cacheFields count="5">
    <cacheField name="EMPLOYEE ID" numFmtId="0">
      <sharedItems/>
    </cacheField>
    <cacheField name="NAME" numFmtId="0">
      <sharedItems/>
    </cacheField>
    <cacheField name="REGION" numFmtId="0">
      <sharedItems count="5">
        <s v="DHAKA"/>
        <s v="CHITTAGONG"/>
        <s v="KHULNA"/>
        <s v="SYLHET"/>
        <s v="RAJSHAHI"/>
      </sharedItems>
    </cacheField>
    <cacheField name="PRODUCT" numFmtId="0">
      <sharedItems count="3">
        <s v="LAPTOP"/>
        <s v="MOBILE "/>
        <s v="TABLET"/>
      </sharedItems>
    </cacheField>
    <cacheField name="SALES" numFmtId="0">
      <sharedItems containsSemiMixedTypes="0" containsString="0" containsNumber="1" containsInteger="1" minValue="15000" maxValue="55000"/>
    </cacheField>
  </cacheFields>
  <extLst>
    <ext xmlns:x14="http://schemas.microsoft.com/office/spreadsheetml/2009/9/main" uri="{725AE2AE-9491-48be-B2B4-4EB974FC3084}">
      <x14:pivotCacheDefinition pivotCacheId="1795360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E101"/>
    <s v="RAHIM"/>
    <x v="0"/>
    <x v="0"/>
    <n v="40000"/>
  </r>
  <r>
    <s v="E102"/>
    <s v="KARIM"/>
    <x v="1"/>
    <x v="1"/>
    <n v="50000"/>
  </r>
  <r>
    <s v="E103"/>
    <s v="NABILA"/>
    <x v="2"/>
    <x v="2"/>
    <n v="15000"/>
  </r>
  <r>
    <s v="E104"/>
    <s v="TANVIR"/>
    <x v="3"/>
    <x v="1"/>
    <n v="30000"/>
  </r>
  <r>
    <s v="E105"/>
    <s v="SOMA"/>
    <x v="4"/>
    <x v="0"/>
    <n v="45000"/>
  </r>
  <r>
    <s v="E106"/>
    <s v="HASAN"/>
    <x v="3"/>
    <x v="2"/>
    <n v="18000"/>
  </r>
  <r>
    <s v="E107"/>
    <s v="ALI"/>
    <x v="2"/>
    <x v="0"/>
    <n v="55000"/>
  </r>
  <r>
    <s v="E108"/>
    <s v="ARIF "/>
    <x v="1"/>
    <x v="1"/>
    <n v="24000"/>
  </r>
  <r>
    <s v="E109"/>
    <s v="MIM"/>
    <x v="2"/>
    <x v="0"/>
    <n v="48000"/>
  </r>
  <r>
    <s v="E110"/>
    <s v="JANNAT"/>
    <x v="4"/>
    <x v="2"/>
    <n v="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EA51D-438D-4244-AC26-F5E0C4B86A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9" firstHeaderRow="1" firstDataRow="1" firstDataCol="1"/>
  <pivotFields count="5">
    <pivotField showAll="0"/>
    <pivotField showAll="0"/>
    <pivotField axis="axisRow" showAll="0">
      <items count="6">
        <item x="1"/>
        <item x="0"/>
        <item x="2"/>
        <item x="4"/>
        <item x="3"/>
        <item t="default"/>
      </items>
    </pivotField>
    <pivotField showAll="0"/>
    <pivotField dataField="1" showAll="0"/>
  </pivotFields>
  <rowFields count="1">
    <field x="2"/>
  </rowFields>
  <rowItems count="6">
    <i>
      <x/>
    </i>
    <i>
      <x v="1"/>
    </i>
    <i>
      <x v="2"/>
    </i>
    <i>
      <x v="3"/>
    </i>
    <i>
      <x v="4"/>
    </i>
    <i t="grand">
      <x/>
    </i>
  </rowItems>
  <colItems count="1">
    <i/>
  </colItems>
  <dataFields count="1">
    <dataField name="Sum of SALES" fld="4"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BD13D-865F-4125-9917-54CFD14ACE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D3:E7" firstHeaderRow="1" firstDataRow="1" firstDataCol="1"/>
  <pivotFields count="5">
    <pivotField showAll="0"/>
    <pivotField showAll="0"/>
    <pivotField showAll="0"/>
    <pivotField axis="axisRow" showAll="0">
      <items count="4">
        <item x="0"/>
        <item x="1"/>
        <item x="2"/>
        <item t="default"/>
      </items>
    </pivotField>
    <pivotField dataField="1" showAll="0"/>
  </pivotFields>
  <rowFields count="1">
    <field x="3"/>
  </rowFields>
  <rowItems count="4">
    <i>
      <x/>
    </i>
    <i>
      <x v="1"/>
    </i>
    <i>
      <x v="2"/>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12561F-E9B1-471E-B657-8F4012A5AB53}" sourceName="REGION">
  <pivotTables>
    <pivotTable tabId="4" name="PivotTable1"/>
  </pivotTables>
  <data>
    <tabular pivotCacheId="1795360340">
      <items count="5">
        <i x="1" s="1"/>
        <i x="0"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6AE372-62F2-43B0-8A7F-F2D5FAB6B3FD}" sourceName="PRODUCT">
  <pivotTables>
    <pivotTable tabId="4" name="PivotTable2"/>
  </pivotTables>
  <data>
    <tabular pivotCacheId="17953603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6BAB2F-6BA9-425A-8853-9C1CA6BE9866}" cache="Slicer_REGION" caption="REGION" rowHeight="234950"/>
  <slicer name="PRODUCT" xr10:uid="{0D317919-646F-4CF2-95AE-67C678AA6D8F}"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C718-17D3-494D-8656-947337437486}">
  <dimension ref="C1:G5"/>
  <sheetViews>
    <sheetView workbookViewId="0">
      <selection activeCell="D13" sqref="D13"/>
    </sheetView>
  </sheetViews>
  <sheetFormatPr defaultRowHeight="14.4" x14ac:dyDescent="0.3"/>
  <cols>
    <col min="1" max="1" width="17.77734375" customWidth="1"/>
    <col min="2" max="2" width="11.6640625" customWidth="1"/>
    <col min="3" max="3" width="15.6640625" customWidth="1"/>
    <col min="4" max="4" width="14.44140625" customWidth="1"/>
    <col min="5" max="5" width="15.6640625" customWidth="1"/>
    <col min="7" max="7" width="11.21875" customWidth="1"/>
    <col min="8" max="8" width="6" customWidth="1"/>
    <col min="9" max="9" width="14.44140625" customWidth="1"/>
    <col min="10" max="10" width="12.21875" customWidth="1"/>
    <col min="11" max="11" width="12.6640625" customWidth="1"/>
    <col min="12" max="12" width="12.21875" customWidth="1"/>
  </cols>
  <sheetData>
    <row r="1" spans="3:7" x14ac:dyDescent="0.3">
      <c r="C1" s="2" t="s">
        <v>0</v>
      </c>
      <c r="D1" s="2" t="s">
        <v>1</v>
      </c>
      <c r="E1" s="2" t="s">
        <v>2</v>
      </c>
      <c r="F1" s="2" t="s">
        <v>3</v>
      </c>
      <c r="G1" s="2" t="s">
        <v>32</v>
      </c>
    </row>
    <row r="2" spans="3:7" x14ac:dyDescent="0.3">
      <c r="C2" t="s">
        <v>4</v>
      </c>
      <c r="D2" t="s">
        <v>14</v>
      </c>
      <c r="E2" t="str">
        <f>IFERROR(VLOOKUP($C2,MAIN!I1:M11,3,FALSE),"NOT FOUND")</f>
        <v>DHAKA</v>
      </c>
      <c r="F2" t="str">
        <f>IFERROR(VLOOKUP($C2,MAIN!I1:M11,4,FALSE),"NOT FOUND")</f>
        <v>LAPTOP</v>
      </c>
      <c r="G2">
        <f>IFERROR(VLOOKUP($C2,MAIN!I1:M11,5,FALSE),"NOT FOUND")</f>
        <v>40000</v>
      </c>
    </row>
    <row r="3" spans="3:7" x14ac:dyDescent="0.3">
      <c r="C3" t="s">
        <v>7</v>
      </c>
      <c r="D3" t="str">
        <f>IFERROR(VLOOKUP($C3,MAIN!I1:M11,2,FALSE),"NOT FOUND")</f>
        <v>TANVIR</v>
      </c>
      <c r="E3" t="str">
        <f>IFERROR(VLOOKUP($C3,MAIN!I2:M12,3,FALSE),"NOT FOUND")</f>
        <v>SYLHET</v>
      </c>
      <c r="F3" t="str">
        <f>IFERROR(VLOOKUP($C3,MAIN!I2:M12,4,FALSE),"NOT FOUND")</f>
        <v xml:space="preserve">MOBILE </v>
      </c>
      <c r="G3">
        <f>IFERROR(VLOOKUP($C3,MAIN!I2:M12,5,FALSE),"NOT FOUND")</f>
        <v>30000</v>
      </c>
    </row>
    <row r="4" spans="3:7" x14ac:dyDescent="0.3">
      <c r="C4" t="s">
        <v>10</v>
      </c>
      <c r="D4" t="str">
        <f>IFERROR(VLOOKUP($C4,MAIN!I2:M12,2,FALSE),"NOT FOUND")</f>
        <v>ALI</v>
      </c>
      <c r="E4" t="str">
        <f>IFERROR(VLOOKUP($C4,MAIN!I3:M13,3,FALSE),"NOT FOUND")</f>
        <v>KHULNA</v>
      </c>
      <c r="F4" t="str">
        <f>IFERROR(VLOOKUP($C4,MAIN!I3:M13,4,FALSE),"NOT FOUND")</f>
        <v>LAPTOP</v>
      </c>
      <c r="G4">
        <f>IFERROR(VLOOKUP($C4,MAIN!I3:M13,5,FALSE),"NOT FOUND")</f>
        <v>55000</v>
      </c>
    </row>
    <row r="5" spans="3:7" x14ac:dyDescent="0.3">
      <c r="C5" t="s">
        <v>13</v>
      </c>
      <c r="D5" t="str">
        <f>IFERROR(VLOOKUP($C5,MAIN!I3:M13,2,FALSE),"NOT FOUND")</f>
        <v>JANNAT</v>
      </c>
      <c r="E5" t="str">
        <f>IFERROR(VLOOKUP($C5,MAIN!I4:M14,3,FALSE),"NOT FOUND")</f>
        <v>RAJSHAHI</v>
      </c>
      <c r="F5" t="str">
        <f>IFERROR(VLOOKUP($C5,MAIN!I4:M14,4,FALSE),"NOT FOUND")</f>
        <v>TABLET</v>
      </c>
      <c r="G5">
        <f>IFERROR(VLOOKUP($C5,MAIN!I4:M14,5,FALSE),"NOT FOUND")</f>
        <v>22000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7D51-6D49-45E4-8263-781D554BD6A8}">
  <dimension ref="A3:T9"/>
  <sheetViews>
    <sheetView tabSelected="1" topLeftCell="A2" workbookViewId="0">
      <selection activeCell="O4" sqref="O4"/>
    </sheetView>
  </sheetViews>
  <sheetFormatPr defaultRowHeight="14.4" x14ac:dyDescent="0.3"/>
  <cols>
    <col min="1" max="1" width="12.109375" bestFit="1" customWidth="1"/>
    <col min="2" max="2" width="12.5546875" bestFit="1" customWidth="1"/>
    <col min="4" max="4" width="11.44140625" bestFit="1" customWidth="1"/>
    <col min="5" max="5" width="12.5546875" bestFit="1" customWidth="1"/>
    <col min="7" max="7" width="12.109375" bestFit="1" customWidth="1"/>
    <col min="8" max="8" width="12.5546875" bestFit="1" customWidth="1"/>
    <col min="17" max="17" width="5.44140625" customWidth="1"/>
    <col min="21" max="21" width="11.77734375" customWidth="1"/>
  </cols>
  <sheetData>
    <row r="3" spans="1:20" x14ac:dyDescent="0.3">
      <c r="A3" s="3" t="s">
        <v>2</v>
      </c>
      <c r="B3" t="s">
        <v>34</v>
      </c>
      <c r="D3" s="3" t="s">
        <v>3</v>
      </c>
      <c r="E3" t="s">
        <v>34</v>
      </c>
      <c r="Q3" s="5"/>
      <c r="R3" s="5"/>
      <c r="S3" s="5"/>
      <c r="T3" s="5"/>
    </row>
    <row r="4" spans="1:20" x14ac:dyDescent="0.3">
      <c r="A4" s="4" t="s">
        <v>25</v>
      </c>
      <c r="B4">
        <v>74000</v>
      </c>
      <c r="D4" s="4" t="s">
        <v>29</v>
      </c>
      <c r="E4">
        <v>188000</v>
      </c>
      <c r="Q4" s="5" t="str">
        <f>"Highest Sales Region: "&amp;INDEX(A4:A8,MATCH(MAX(B4:B8),B4:B8,0))&amp;" ("&amp;MAX(B4:B8)&amp;")"</f>
        <v>Highest Sales Region: KHULNA (118000)</v>
      </c>
      <c r="R4" s="5"/>
      <c r="S4" s="5"/>
      <c r="T4" s="5"/>
    </row>
    <row r="5" spans="1:20" x14ac:dyDescent="0.3">
      <c r="A5" s="4" t="s">
        <v>24</v>
      </c>
      <c r="B5">
        <v>40000</v>
      </c>
      <c r="D5" s="4" t="s">
        <v>30</v>
      </c>
      <c r="E5">
        <v>104000</v>
      </c>
      <c r="Q5" s="5" t="str">
        <f>"Highest Selling Product: "&amp;INDEX(D4:D6,MATCH(MAX(E4:E6),E4:E6,0))&amp;" ("&amp;MAX(E4:E6)&amp;")"</f>
        <v>Highest Selling Product: LAPTOP (188000)</v>
      </c>
      <c r="R5" s="5"/>
      <c r="S5" s="5"/>
      <c r="T5" s="5"/>
    </row>
    <row r="6" spans="1:20" ht="15" thickBot="1" x14ac:dyDescent="0.35">
      <c r="A6" s="4" t="s">
        <v>28</v>
      </c>
      <c r="B6">
        <v>118000</v>
      </c>
      <c r="D6" s="4" t="s">
        <v>31</v>
      </c>
      <c r="E6">
        <v>55000</v>
      </c>
      <c r="Q6" s="6"/>
      <c r="R6" s="6"/>
      <c r="S6" s="6"/>
      <c r="T6" s="6"/>
    </row>
    <row r="7" spans="1:20" x14ac:dyDescent="0.3">
      <c r="A7" s="4" t="s">
        <v>26</v>
      </c>
      <c r="B7">
        <v>67000</v>
      </c>
      <c r="D7" s="4" t="s">
        <v>33</v>
      </c>
      <c r="E7">
        <v>347000</v>
      </c>
    </row>
    <row r="8" spans="1:20" x14ac:dyDescent="0.3">
      <c r="A8" s="4" t="s">
        <v>27</v>
      </c>
      <c r="B8">
        <v>48000</v>
      </c>
    </row>
    <row r="9" spans="1:20" x14ac:dyDescent="0.3">
      <c r="A9" s="4" t="s">
        <v>33</v>
      </c>
      <c r="B9">
        <v>347000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2797-9C4B-4F7F-A47F-1CDE6A13AE58}">
  <dimension ref="I1:M11"/>
  <sheetViews>
    <sheetView workbookViewId="0">
      <selection activeCell="G22" sqref="G22"/>
    </sheetView>
  </sheetViews>
  <sheetFormatPr defaultRowHeight="14.4" x14ac:dyDescent="0.3"/>
  <cols>
    <col min="8" max="8" width="1" customWidth="1"/>
    <col min="9" max="9" width="14" customWidth="1"/>
    <col min="11" max="11" width="13.109375" customWidth="1"/>
    <col min="12" max="12" width="12.33203125" customWidth="1"/>
    <col min="13" max="13" width="11.88671875" customWidth="1"/>
  </cols>
  <sheetData>
    <row r="1" spans="9:13" x14ac:dyDescent="0.3">
      <c r="I1" s="1" t="s">
        <v>0</v>
      </c>
      <c r="J1" s="1" t="s">
        <v>1</v>
      </c>
      <c r="K1" s="1" t="s">
        <v>2</v>
      </c>
      <c r="L1" s="1" t="s">
        <v>3</v>
      </c>
      <c r="M1" s="1" t="s">
        <v>32</v>
      </c>
    </row>
    <row r="2" spans="9:13" x14ac:dyDescent="0.3">
      <c r="I2" t="s">
        <v>4</v>
      </c>
      <c r="J2" t="s">
        <v>14</v>
      </c>
      <c r="K2" t="s">
        <v>24</v>
      </c>
      <c r="L2" t="s">
        <v>29</v>
      </c>
      <c r="M2">
        <v>40000</v>
      </c>
    </row>
    <row r="3" spans="9:13" x14ac:dyDescent="0.3">
      <c r="I3" t="s">
        <v>5</v>
      </c>
      <c r="J3" t="s">
        <v>15</v>
      </c>
      <c r="K3" t="s">
        <v>25</v>
      </c>
      <c r="L3" t="s">
        <v>30</v>
      </c>
      <c r="M3">
        <v>50000</v>
      </c>
    </row>
    <row r="4" spans="9:13" x14ac:dyDescent="0.3">
      <c r="I4" t="s">
        <v>6</v>
      </c>
      <c r="J4" t="s">
        <v>16</v>
      </c>
      <c r="K4" t="s">
        <v>28</v>
      </c>
      <c r="L4" t="s">
        <v>31</v>
      </c>
      <c r="M4">
        <v>15000</v>
      </c>
    </row>
    <row r="5" spans="9:13" x14ac:dyDescent="0.3">
      <c r="I5" t="s">
        <v>7</v>
      </c>
      <c r="J5" t="s">
        <v>17</v>
      </c>
      <c r="K5" t="s">
        <v>27</v>
      </c>
      <c r="L5" t="s">
        <v>30</v>
      </c>
      <c r="M5">
        <v>30000</v>
      </c>
    </row>
    <row r="6" spans="9:13" x14ac:dyDescent="0.3">
      <c r="I6" t="s">
        <v>8</v>
      </c>
      <c r="J6" t="s">
        <v>18</v>
      </c>
      <c r="K6" t="s">
        <v>26</v>
      </c>
      <c r="L6" t="s">
        <v>29</v>
      </c>
      <c r="M6">
        <v>45000</v>
      </c>
    </row>
    <row r="7" spans="9:13" x14ac:dyDescent="0.3">
      <c r="I7" t="s">
        <v>9</v>
      </c>
      <c r="J7" t="s">
        <v>19</v>
      </c>
      <c r="K7" t="s">
        <v>27</v>
      </c>
      <c r="L7" t="s">
        <v>31</v>
      </c>
      <c r="M7">
        <v>18000</v>
      </c>
    </row>
    <row r="8" spans="9:13" x14ac:dyDescent="0.3">
      <c r="I8" t="s">
        <v>10</v>
      </c>
      <c r="J8" t="s">
        <v>20</v>
      </c>
      <c r="K8" t="s">
        <v>28</v>
      </c>
      <c r="L8" t="s">
        <v>29</v>
      </c>
      <c r="M8">
        <v>55000</v>
      </c>
    </row>
    <row r="9" spans="9:13" x14ac:dyDescent="0.3">
      <c r="I9" t="s">
        <v>11</v>
      </c>
      <c r="J9" t="s">
        <v>21</v>
      </c>
      <c r="K9" t="s">
        <v>25</v>
      </c>
      <c r="L9" t="s">
        <v>30</v>
      </c>
      <c r="M9">
        <v>24000</v>
      </c>
    </row>
    <row r="10" spans="9:13" x14ac:dyDescent="0.3">
      <c r="I10" t="s">
        <v>12</v>
      </c>
      <c r="J10" t="s">
        <v>22</v>
      </c>
      <c r="K10" t="s">
        <v>28</v>
      </c>
      <c r="L10" t="s">
        <v>29</v>
      </c>
      <c r="M10">
        <v>48000</v>
      </c>
    </row>
    <row r="11" spans="9:13" x14ac:dyDescent="0.3">
      <c r="I11" t="s">
        <v>13</v>
      </c>
      <c r="J11" t="s">
        <v>23</v>
      </c>
      <c r="K11" t="s">
        <v>26</v>
      </c>
      <c r="L11" t="s">
        <v>31</v>
      </c>
      <c r="M11">
        <v>22000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SUB</vt:lpstr>
      <vt:lpstr>PIVOT</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Rituparna Kundu</dc:creator>
  <cp:lastModifiedBy>Rituparna Kundu</cp:lastModifiedBy>
  <dcterms:created xsi:type="dcterms:W3CDTF">2026-06-14T05:53:09Z</dcterms:created>
  <dcterms:modified xsi:type="dcterms:W3CDTF">2026-06-16T07:45:39Z</dcterms:modified>
</cp:coreProperties>
</file>