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B0A46A79-AFB3-4D6E-A87B-CAC7D2DB35D0}" xr6:coauthVersionLast="47" xr6:coauthVersionMax="47" xr10:uidLastSave="{00000000-0000-0000-0000-000000000000}"/>
  <bookViews>
    <workbookView xWindow="-108" yWindow="-108" windowWidth="23256" windowHeight="12456" activeTab="2" xr2:uid="{5044C2A7-2F7C-48F2-A37B-1731D100B17B}"/>
  </bookViews>
  <sheets>
    <sheet name="Table1" sheetId="2" r:id="rId1"/>
    <sheet name="Sheet1" sheetId="1" r:id="rId2"/>
    <sheet name="Sheet2" sheetId="3" r:id="rId3"/>
  </sheets>
  <definedNames>
    <definedName name="ExternalData_1" localSheetId="0" hidden="1">Table1!$A$1:$J$12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3" l="1"/>
  <c r="D14" i="3"/>
  <c r="D16" i="3"/>
  <c r="B17" i="3"/>
  <c r="B16" i="3"/>
  <c r="G9" i="3"/>
  <c r="G10" i="3" s="1"/>
  <c r="G6" i="3"/>
  <c r="D8" i="3"/>
  <c r="B8" i="3"/>
  <c r="D2" i="3"/>
  <c r="D3" i="3"/>
  <c r="D4" i="3"/>
  <c r="D5" i="3"/>
  <c r="D6" i="3"/>
  <c r="D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B50A96-707F-410E-8327-64548825DB9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<sst xmlns="http://schemas.openxmlformats.org/spreadsheetml/2006/main" count="191" uniqueCount="92">
  <si>
    <t>Employee ID</t>
  </si>
  <si>
    <t>Name</t>
  </si>
  <si>
    <t>Department</t>
  </si>
  <si>
    <t>Join Date</t>
  </si>
  <si>
    <t>Salary</t>
  </si>
  <si>
    <t>Email</t>
  </si>
  <si>
    <t>City</t>
  </si>
  <si>
    <t>EMP-101</t>
  </si>
  <si>
    <t>Rahim</t>
  </si>
  <si>
    <t>AI</t>
  </si>
  <si>
    <t>rahim@gmail.com</t>
  </si>
  <si>
    <t>Dhaka</t>
  </si>
  <si>
    <t>EMP-102</t>
  </si>
  <si>
    <t>Karim</t>
  </si>
  <si>
    <t>ML</t>
  </si>
  <si>
    <t>karim@gmail.com</t>
  </si>
  <si>
    <t>Chittagong</t>
  </si>
  <si>
    <t>EMP-103</t>
  </si>
  <si>
    <t>Nabila</t>
  </si>
  <si>
    <t>Data Science</t>
  </si>
  <si>
    <t>nabila@gmail.com</t>
  </si>
  <si>
    <t>EMP-107</t>
  </si>
  <si>
    <t>Rafi</t>
  </si>
  <si>
    <t>Agentic AI</t>
  </si>
  <si>
    <t>rafi@gmail.com</t>
  </si>
  <si>
    <t>EMP-108</t>
  </si>
  <si>
    <t>Mim</t>
  </si>
  <si>
    <t>mim@gmail.com</t>
  </si>
  <si>
    <t>Barisal</t>
  </si>
  <si>
    <t>EMP-109</t>
  </si>
  <si>
    <t>Sajid</t>
  </si>
  <si>
    <t>sajid@gmail.com</t>
  </si>
  <si>
    <t>EMP-110</t>
  </si>
  <si>
    <t>Lamia</t>
  </si>
  <si>
    <t>lamia@gmail.com</t>
  </si>
  <si>
    <t>Noakhali</t>
  </si>
  <si>
    <t>EMP-112</t>
  </si>
  <si>
    <t>Faria</t>
  </si>
  <si>
    <t>DL</t>
  </si>
  <si>
    <t>faria@gmail.com</t>
  </si>
  <si>
    <t>Comilla</t>
  </si>
  <si>
    <t>EMP-113</t>
  </si>
  <si>
    <t>Ratul</t>
  </si>
  <si>
    <t>ratul@gmail.com</t>
  </si>
  <si>
    <t>EMP-114</t>
  </si>
  <si>
    <t>Anika</t>
  </si>
  <si>
    <t>anika@gmail.com</t>
  </si>
  <si>
    <t>Khulna</t>
  </si>
  <si>
    <t>EMP-115</t>
  </si>
  <si>
    <t>Riad</t>
  </si>
  <si>
    <t>riad@gmail.com</t>
  </si>
  <si>
    <t>Column1</t>
  </si>
  <si>
    <t>new date</t>
  </si>
  <si>
    <t>Category</t>
  </si>
  <si>
    <t>Month Name</t>
  </si>
  <si>
    <t>Low</t>
  </si>
  <si>
    <t>December</t>
  </si>
  <si>
    <t>Medium</t>
  </si>
  <si>
    <t>January</t>
  </si>
  <si>
    <t>February</t>
  </si>
  <si>
    <t>May</t>
  </si>
  <si>
    <t>High</t>
  </si>
  <si>
    <t>August</t>
  </si>
  <si>
    <t>Month</t>
  </si>
  <si>
    <t>Student</t>
  </si>
  <si>
    <t>Sales</t>
  </si>
  <si>
    <t>Total Sales</t>
  </si>
  <si>
    <t>March</t>
  </si>
  <si>
    <t>April</t>
  </si>
  <si>
    <t>June</t>
  </si>
  <si>
    <t>AVERAGE</t>
  </si>
  <si>
    <t>Particular</t>
  </si>
  <si>
    <t>Amount</t>
  </si>
  <si>
    <t>Facebook Marketing Cost</t>
  </si>
  <si>
    <t>Instructor Cost</t>
  </si>
  <si>
    <t>Platform &amp; Software Cost</t>
  </si>
  <si>
    <t>Other Operational Cost</t>
  </si>
  <si>
    <t>Total Cost</t>
  </si>
  <si>
    <t>Course Fee Per Student</t>
  </si>
  <si>
    <t>Initial Student Count</t>
  </si>
  <si>
    <t>Revenue</t>
  </si>
  <si>
    <t>Profit</t>
  </si>
  <si>
    <t>Required Student for 300000 Profit</t>
  </si>
  <si>
    <t>New Course Fee for 300000 Profit</t>
  </si>
  <si>
    <t>ASSIGNMENT 06</t>
  </si>
  <si>
    <t>ENROLLED STUDENT = 120</t>
  </si>
  <si>
    <t>Total cost</t>
  </si>
  <si>
    <t>Student Count</t>
  </si>
  <si>
    <t>course Fee Per Student</t>
  </si>
  <si>
    <t>Student count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</si>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</sst>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1958EC-A95F-40EF-908B-65403A725D9C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Name" tableColumnId="2"/>
      <queryTableField id="3" name="Department" tableColumnId="3"/>
      <queryTableField id="4" name="Join Date" tableColumnId="4"/>
      <queryTableField id="5" name="Salary" tableColumnId="5"/>
      <queryTableField id="6" name="Email" tableColumnId="6"/>
      <queryTableField id="7" name="City" tableColumnId="7"/>
      <queryTableField id="8" name="new date" tableColumnId="8"/>
      <queryTableField id="9" name="Category" tableColumnId="9"/>
      <queryTableField id="10" name="Month Na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CF9EAB-BCC5-47D3-8601-9CE961F7E2B6}" name="Table1_1" displayName="Table1_1" ref="A1:J12" tableType="queryTable">
  <autoFilter ref="A1:J12" xr:uid="{45CF9EAB-BCC5-47D3-8601-9CE961F7E2B6}"/>
  <tableColumns count="10">
    <tableColumn id="1" xr3:uid="{E63AFC1C-6D1A-4210-B4CC-AA2F7A6B8269}" uniqueName="1" name="Employee ID" totalsRowLabel="Total" queryTableFieldId="1" dataDxfId="15"/>
    <tableColumn id="2" xr3:uid="{27F1265C-8CCA-4586-9DE6-9485C5C66F46}" uniqueName="2" name="Name" queryTableFieldId="2" dataDxfId="14"/>
    <tableColumn id="3" xr3:uid="{12B7BB15-BB44-45B0-9793-55F47E35EA40}" uniqueName="3" name="Department" queryTableFieldId="3" dataDxfId="13"/>
    <tableColumn id="4" xr3:uid="{67B4ECA3-550C-4765-BA64-013D58C8581D}" uniqueName="4" name="Join Date" queryTableFieldId="4" dataDxfId="12"/>
    <tableColumn id="5" xr3:uid="{EB3F6BA2-D57A-4621-AF83-683D8D4E3CBA}" uniqueName="5" name="Salary" queryTableFieldId="5"/>
    <tableColumn id="6" xr3:uid="{FF8E0291-DBFA-4633-B97D-61B9F1E41719}" uniqueName="6" name="Email" queryTableFieldId="6" dataDxfId="11"/>
    <tableColumn id="7" xr3:uid="{0AEE401D-DA8F-4883-B270-360C0DB068B5}" uniqueName="7" name="City" queryTableFieldId="7" dataDxfId="10"/>
    <tableColumn id="8" xr3:uid="{38CB90E4-5248-4F56-9BF7-9F6DF8023EAE}" uniqueName="8" name="new date" queryTableFieldId="8"/>
    <tableColumn id="9" xr3:uid="{B0BB2CBF-57C5-47C4-951E-6041B4730F78}" uniqueName="9" name="Category" queryTableFieldId="9"/>
    <tableColumn id="10" xr3:uid="{FA559D8C-8433-4437-8059-C98806E9876C}" uniqueName="10" name="Month Name" totalsRowFunction="count" queryTableFieldId="10" dataDxfId="9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17F83-3A3A-4143-A589-D791086EFCAD}" name="Table1" displayName="Table1" ref="A1:G14" totalsRowShown="0" headerRowDxfId="8" dataDxfId="7">
  <autoFilter ref="A1:G14" xr:uid="{05E17F83-3A3A-4143-A589-D791086EFCAD}"/>
  <tableColumns count="7">
    <tableColumn id="1" xr3:uid="{7C9DF956-1E81-4256-9260-E235218AC666}" name="Employee ID" dataDxfId="6"/>
    <tableColumn id="2" xr3:uid="{801D4AD3-B410-459C-AF18-B572A9EE3DA6}" name="Name" dataDxfId="5"/>
    <tableColumn id="3" xr3:uid="{B60C8437-978D-4988-8E37-ED02B500F413}" name="Department" dataDxfId="4"/>
    <tableColumn id="4" xr3:uid="{2DC376B7-17A1-4FC5-82F9-346F41FC2753}" name="Join Date" dataDxfId="3"/>
    <tableColumn id="5" xr3:uid="{028EC35E-9BCC-4264-B3BF-52629B9626A2}" name="Salary" dataDxfId="2"/>
    <tableColumn id="6" xr3:uid="{CC193363-983C-45B5-AED2-942A0D7E5A76}" name="Email" dataDxfId="1" dataCellStyle="Hyperlink"/>
    <tableColumn id="7" xr3:uid="{9D5E0FC3-AE04-4533-B007-A9A48939A59A}" name="Cit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0BB4A3-EA9B-4902-9EAE-66A4D75FE2B0}" name="Table2" displayName="Table2" ref="M2:M3" insertRow="1" totalsRowShown="0">
  <autoFilter ref="M2:M3" xr:uid="{D30BB4A3-EA9B-4902-9EAE-66A4D75FE2B0}"/>
  <tableColumns count="1">
    <tableColumn id="1" xr3:uid="{A61A84D6-A678-406C-97FB-6C5282AFDFA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aria@gmail.com" TargetMode="External"/><Relationship Id="rId13" Type="http://schemas.openxmlformats.org/officeDocument/2006/relationships/table" Target="../tables/table3.xml"/><Relationship Id="rId3" Type="http://schemas.openxmlformats.org/officeDocument/2006/relationships/hyperlink" Target="mailto:nabila@gmail.com" TargetMode="External"/><Relationship Id="rId7" Type="http://schemas.openxmlformats.org/officeDocument/2006/relationships/hyperlink" Target="mailto:lamia@gmail.com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karim@gmail.com" TargetMode="External"/><Relationship Id="rId1" Type="http://schemas.openxmlformats.org/officeDocument/2006/relationships/hyperlink" Target="mailto:rahim@gmail.com" TargetMode="External"/><Relationship Id="rId6" Type="http://schemas.openxmlformats.org/officeDocument/2006/relationships/hyperlink" Target="mailto:sajid@gmail.com" TargetMode="External"/><Relationship Id="rId11" Type="http://schemas.openxmlformats.org/officeDocument/2006/relationships/hyperlink" Target="mailto:riad@gmail.com" TargetMode="External"/><Relationship Id="rId5" Type="http://schemas.openxmlformats.org/officeDocument/2006/relationships/hyperlink" Target="mailto:mim@gmail.com" TargetMode="External"/><Relationship Id="rId10" Type="http://schemas.openxmlformats.org/officeDocument/2006/relationships/hyperlink" Target="mailto:anika@gmail.com" TargetMode="External"/><Relationship Id="rId4" Type="http://schemas.openxmlformats.org/officeDocument/2006/relationships/hyperlink" Target="mailto:rafi@gmail.com" TargetMode="External"/><Relationship Id="rId9" Type="http://schemas.openxmlformats.org/officeDocument/2006/relationships/hyperlink" Target="mailto:rat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EA38-4765-4669-B270-C14DDC614F52}">
  <dimension ref="A1:J12"/>
  <sheetViews>
    <sheetView workbookViewId="0"/>
  </sheetViews>
  <sheetFormatPr defaultRowHeight="14.4" x14ac:dyDescent="0.3"/>
  <cols>
    <col min="1" max="1" width="13.77734375" bestFit="1" customWidth="1"/>
    <col min="2" max="2" width="8.21875" bestFit="1" customWidth="1"/>
    <col min="3" max="3" width="13.33203125" bestFit="1" customWidth="1"/>
    <col min="4" max="4" width="13.6640625" bestFit="1" customWidth="1"/>
    <col min="5" max="5" width="8.33203125" bestFit="1" customWidth="1"/>
    <col min="6" max="6" width="16.21875" bestFit="1" customWidth="1"/>
    <col min="7" max="7" width="9.77734375" bestFit="1" customWidth="1"/>
    <col min="8" max="8" width="11" bestFit="1" customWidth="1"/>
    <col min="9" max="9" width="10.77734375" bestFit="1" customWidth="1"/>
    <col min="10" max="10" width="1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53</v>
      </c>
      <c r="J1" t="s">
        <v>54</v>
      </c>
    </row>
    <row r="2" spans="1:10" x14ac:dyDescent="0.3">
      <c r="A2" t="s">
        <v>7</v>
      </c>
      <c r="B2" t="s">
        <v>8</v>
      </c>
      <c r="C2" t="s">
        <v>9</v>
      </c>
      <c r="D2" s="5">
        <v>45992</v>
      </c>
      <c r="E2">
        <v>45000</v>
      </c>
      <c r="F2" t="s">
        <v>10</v>
      </c>
      <c r="G2" t="s">
        <v>11</v>
      </c>
      <c r="H2">
        <v>45992</v>
      </c>
      <c r="I2" t="s">
        <v>55</v>
      </c>
      <c r="J2" t="s">
        <v>56</v>
      </c>
    </row>
    <row r="3" spans="1:10" x14ac:dyDescent="0.3">
      <c r="A3" t="s">
        <v>12</v>
      </c>
      <c r="B3" t="s">
        <v>13</v>
      </c>
      <c r="C3" t="s">
        <v>14</v>
      </c>
      <c r="D3" s="5">
        <v>45672</v>
      </c>
      <c r="E3">
        <v>52000</v>
      </c>
      <c r="F3" t="s">
        <v>15</v>
      </c>
      <c r="G3" t="s">
        <v>16</v>
      </c>
      <c r="H3">
        <v>45672</v>
      </c>
      <c r="I3" t="s">
        <v>57</v>
      </c>
      <c r="J3" t="s">
        <v>58</v>
      </c>
    </row>
    <row r="4" spans="1:10" x14ac:dyDescent="0.3">
      <c r="A4" t="s">
        <v>17</v>
      </c>
      <c r="B4" t="s">
        <v>18</v>
      </c>
      <c r="C4" t="s">
        <v>19</v>
      </c>
      <c r="D4" s="5">
        <v>45675</v>
      </c>
      <c r="E4">
        <v>48000</v>
      </c>
      <c r="F4" t="s">
        <v>20</v>
      </c>
      <c r="G4" t="s">
        <v>11</v>
      </c>
      <c r="H4">
        <v>45675</v>
      </c>
      <c r="I4" t="s">
        <v>55</v>
      </c>
      <c r="J4" t="s">
        <v>58</v>
      </c>
    </row>
    <row r="5" spans="1:10" x14ac:dyDescent="0.3">
      <c r="A5" t="s">
        <v>21</v>
      </c>
      <c r="B5" t="s">
        <v>22</v>
      </c>
      <c r="C5" t="s">
        <v>23</v>
      </c>
      <c r="D5" s="5">
        <v>45713</v>
      </c>
      <c r="E5">
        <v>0</v>
      </c>
      <c r="F5" t="s">
        <v>24</v>
      </c>
      <c r="G5" t="s">
        <v>11</v>
      </c>
      <c r="H5">
        <v>45713</v>
      </c>
      <c r="I5" t="s">
        <v>55</v>
      </c>
      <c r="J5" t="s">
        <v>59</v>
      </c>
    </row>
    <row r="6" spans="1:10" x14ac:dyDescent="0.3">
      <c r="A6" t="s">
        <v>25</v>
      </c>
      <c r="B6" t="s">
        <v>26</v>
      </c>
      <c r="C6" t="s">
        <v>9</v>
      </c>
      <c r="D6" s="5">
        <v>45716</v>
      </c>
      <c r="E6">
        <v>51000</v>
      </c>
      <c r="F6" t="s">
        <v>27</v>
      </c>
      <c r="G6" t="s">
        <v>28</v>
      </c>
      <c r="H6">
        <v>45716</v>
      </c>
      <c r="I6" t="s">
        <v>57</v>
      </c>
      <c r="J6" t="s">
        <v>59</v>
      </c>
    </row>
    <row r="7" spans="1:10" x14ac:dyDescent="0.3">
      <c r="A7" t="s">
        <v>29</v>
      </c>
      <c r="B7" t="s">
        <v>30</v>
      </c>
      <c r="C7" t="s">
        <v>14</v>
      </c>
      <c r="D7" s="5">
        <v>45779</v>
      </c>
      <c r="E7">
        <v>53000</v>
      </c>
      <c r="F7" t="s">
        <v>31</v>
      </c>
      <c r="G7" t="s">
        <v>11</v>
      </c>
      <c r="H7">
        <v>45779</v>
      </c>
      <c r="I7" t="s">
        <v>57</v>
      </c>
      <c r="J7" t="s">
        <v>60</v>
      </c>
    </row>
    <row r="8" spans="1:10" x14ac:dyDescent="0.3">
      <c r="A8" t="s">
        <v>32</v>
      </c>
      <c r="B8" t="s">
        <v>33</v>
      </c>
      <c r="C8" t="s">
        <v>19</v>
      </c>
      <c r="D8" s="5">
        <v>45871</v>
      </c>
      <c r="E8">
        <v>56000</v>
      </c>
      <c r="F8" t="s">
        <v>34</v>
      </c>
      <c r="G8" t="s">
        <v>35</v>
      </c>
      <c r="H8">
        <v>45871</v>
      </c>
      <c r="I8" t="s">
        <v>61</v>
      </c>
      <c r="J8" t="s">
        <v>62</v>
      </c>
    </row>
    <row r="9" spans="1:10" x14ac:dyDescent="0.3">
      <c r="A9" t="s">
        <v>36</v>
      </c>
      <c r="B9" t="s">
        <v>37</v>
      </c>
      <c r="C9" t="s">
        <v>38</v>
      </c>
      <c r="D9" s="5">
        <v>45702</v>
      </c>
      <c r="E9">
        <v>60000</v>
      </c>
      <c r="F9" t="s">
        <v>39</v>
      </c>
      <c r="G9" t="s">
        <v>40</v>
      </c>
      <c r="H9">
        <v>45702</v>
      </c>
      <c r="I9" t="s">
        <v>61</v>
      </c>
      <c r="J9" t="s">
        <v>59</v>
      </c>
    </row>
    <row r="10" spans="1:10" x14ac:dyDescent="0.3">
      <c r="A10" t="s">
        <v>41</v>
      </c>
      <c r="B10" t="s">
        <v>42</v>
      </c>
      <c r="C10" t="s">
        <v>14</v>
      </c>
      <c r="D10" s="5">
        <v>45714</v>
      </c>
      <c r="E10">
        <v>61000</v>
      </c>
      <c r="F10" t="s">
        <v>43</v>
      </c>
      <c r="G10" t="s">
        <v>11</v>
      </c>
      <c r="H10">
        <v>45714</v>
      </c>
      <c r="I10" t="s">
        <v>61</v>
      </c>
      <c r="J10" t="s">
        <v>59</v>
      </c>
    </row>
    <row r="11" spans="1:10" x14ac:dyDescent="0.3">
      <c r="A11" t="s">
        <v>44</v>
      </c>
      <c r="B11" t="s">
        <v>45</v>
      </c>
      <c r="C11" t="s">
        <v>9</v>
      </c>
      <c r="D11" s="5">
        <v>45706</v>
      </c>
      <c r="E11">
        <v>58000</v>
      </c>
      <c r="F11" t="s">
        <v>46</v>
      </c>
      <c r="G11" t="s">
        <v>47</v>
      </c>
      <c r="H11">
        <v>45706</v>
      </c>
      <c r="I11" t="s">
        <v>61</v>
      </c>
      <c r="J11" t="s">
        <v>59</v>
      </c>
    </row>
    <row r="12" spans="1:10" x14ac:dyDescent="0.3">
      <c r="A12" t="s">
        <v>48</v>
      </c>
      <c r="B12" t="s">
        <v>49</v>
      </c>
      <c r="C12" t="s">
        <v>23</v>
      </c>
      <c r="D12" s="5">
        <v>45708</v>
      </c>
      <c r="E12">
        <v>59000</v>
      </c>
      <c r="F12" t="s">
        <v>50</v>
      </c>
      <c r="G12" t="s">
        <v>11</v>
      </c>
      <c r="H12">
        <v>45708</v>
      </c>
      <c r="I12" t="s">
        <v>61</v>
      </c>
      <c r="J12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997D-13B1-417E-A24F-12AE0CC0434B}">
  <dimension ref="A1:M12"/>
  <sheetViews>
    <sheetView workbookViewId="0">
      <selection activeCell="B3" sqref="B3"/>
    </sheetView>
  </sheetViews>
  <sheetFormatPr defaultRowHeight="14.4" x14ac:dyDescent="0.3"/>
  <cols>
    <col min="1" max="1" width="15" customWidth="1"/>
    <col min="2" max="2" width="13.109375" customWidth="1"/>
    <col min="3" max="3" width="15.33203125" customWidth="1"/>
    <col min="4" max="4" width="15.6640625" customWidth="1"/>
    <col min="5" max="5" width="14.5546875" customWidth="1"/>
    <col min="6" max="6" width="18" customWidth="1"/>
    <col min="7" max="7" width="13" customWidth="1"/>
    <col min="13" max="13" width="10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2" t="s">
        <v>7</v>
      </c>
      <c r="B2" s="2" t="s">
        <v>8</v>
      </c>
      <c r="C2" s="2" t="s">
        <v>9</v>
      </c>
      <c r="D2" s="3">
        <v>45992</v>
      </c>
      <c r="E2" s="2">
        <v>45000</v>
      </c>
      <c r="F2" s="4" t="s">
        <v>10</v>
      </c>
      <c r="G2" s="2" t="s">
        <v>11</v>
      </c>
      <c r="M2" t="s">
        <v>51</v>
      </c>
    </row>
    <row r="3" spans="1:13" ht="28.8" x14ac:dyDescent="0.3">
      <c r="A3" s="2" t="s">
        <v>12</v>
      </c>
      <c r="B3" s="2" t="s">
        <v>13</v>
      </c>
      <c r="C3" s="2" t="s">
        <v>14</v>
      </c>
      <c r="D3" s="3">
        <v>45672</v>
      </c>
      <c r="E3" s="2">
        <v>52000</v>
      </c>
      <c r="F3" s="4" t="s">
        <v>15</v>
      </c>
      <c r="G3" s="2" t="s">
        <v>16</v>
      </c>
    </row>
    <row r="4" spans="1:13" ht="28.8" x14ac:dyDescent="0.3">
      <c r="A4" s="2" t="s">
        <v>17</v>
      </c>
      <c r="B4" s="2" t="s">
        <v>18</v>
      </c>
      <c r="C4" s="2" t="s">
        <v>19</v>
      </c>
      <c r="D4" s="3">
        <v>45675</v>
      </c>
      <c r="E4" s="2">
        <v>48000</v>
      </c>
      <c r="F4" s="4" t="s">
        <v>20</v>
      </c>
      <c r="G4" s="2" t="s">
        <v>11</v>
      </c>
    </row>
    <row r="5" spans="1:13" ht="28.8" x14ac:dyDescent="0.3">
      <c r="A5" s="2" t="s">
        <v>21</v>
      </c>
      <c r="B5" s="2" t="s">
        <v>22</v>
      </c>
      <c r="C5" s="2" t="s">
        <v>23</v>
      </c>
      <c r="D5" s="3">
        <v>45713</v>
      </c>
      <c r="E5" s="2">
        <v>0</v>
      </c>
      <c r="F5" s="4" t="s">
        <v>24</v>
      </c>
      <c r="G5" s="2" t="s">
        <v>11</v>
      </c>
    </row>
    <row r="6" spans="1:13" ht="28.8" x14ac:dyDescent="0.3">
      <c r="A6" s="2" t="s">
        <v>25</v>
      </c>
      <c r="B6" s="2" t="s">
        <v>26</v>
      </c>
      <c r="C6" s="2" t="s">
        <v>9</v>
      </c>
      <c r="D6" s="3">
        <v>45716</v>
      </c>
      <c r="E6" s="2">
        <v>51000</v>
      </c>
      <c r="F6" s="4" t="s">
        <v>27</v>
      </c>
      <c r="G6" s="2" t="s">
        <v>28</v>
      </c>
    </row>
    <row r="7" spans="1:13" ht="28.8" x14ac:dyDescent="0.3">
      <c r="A7" s="2" t="s">
        <v>29</v>
      </c>
      <c r="B7" s="2" t="s">
        <v>30</v>
      </c>
      <c r="C7" s="2" t="s">
        <v>14</v>
      </c>
      <c r="D7" s="3">
        <v>45779</v>
      </c>
      <c r="E7" s="2">
        <v>53000</v>
      </c>
      <c r="F7" s="4" t="s">
        <v>31</v>
      </c>
      <c r="G7" s="2" t="s">
        <v>11</v>
      </c>
    </row>
    <row r="8" spans="1:13" ht="28.8" x14ac:dyDescent="0.3">
      <c r="A8" s="2" t="s">
        <v>32</v>
      </c>
      <c r="B8" s="2" t="s">
        <v>33</v>
      </c>
      <c r="C8" s="2" t="s">
        <v>19</v>
      </c>
      <c r="D8" s="3">
        <v>45871</v>
      </c>
      <c r="E8" s="2">
        <v>56000</v>
      </c>
      <c r="F8" s="4" t="s">
        <v>34</v>
      </c>
      <c r="G8" s="2" t="s">
        <v>35</v>
      </c>
    </row>
    <row r="9" spans="1:13" ht="28.8" x14ac:dyDescent="0.3">
      <c r="A9" s="2" t="s">
        <v>36</v>
      </c>
      <c r="B9" s="2" t="s">
        <v>37</v>
      </c>
      <c r="C9" s="2" t="s">
        <v>38</v>
      </c>
      <c r="D9" s="3">
        <v>45702</v>
      </c>
      <c r="E9" s="2">
        <v>60000</v>
      </c>
      <c r="F9" s="4" t="s">
        <v>39</v>
      </c>
      <c r="G9" s="2" t="s">
        <v>40</v>
      </c>
    </row>
    <row r="10" spans="1:13" ht="28.8" x14ac:dyDescent="0.3">
      <c r="A10" s="2" t="s">
        <v>41</v>
      </c>
      <c r="B10" s="2" t="s">
        <v>42</v>
      </c>
      <c r="C10" s="2" t="s">
        <v>14</v>
      </c>
      <c r="D10" s="3">
        <v>45714</v>
      </c>
      <c r="E10" s="2">
        <v>61000</v>
      </c>
      <c r="F10" s="4" t="s">
        <v>43</v>
      </c>
      <c r="G10" s="2" t="s">
        <v>11</v>
      </c>
    </row>
    <row r="11" spans="1:13" ht="28.8" x14ac:dyDescent="0.3">
      <c r="A11" s="2" t="s">
        <v>44</v>
      </c>
      <c r="B11" s="2" t="s">
        <v>45</v>
      </c>
      <c r="C11" s="2" t="s">
        <v>9</v>
      </c>
      <c r="D11" s="3">
        <v>45706</v>
      </c>
      <c r="E11" s="2">
        <v>58000</v>
      </c>
      <c r="F11" s="4" t="s">
        <v>46</v>
      </c>
      <c r="G11" s="2" t="s">
        <v>47</v>
      </c>
    </row>
    <row r="12" spans="1:13" ht="28.8" x14ac:dyDescent="0.3">
      <c r="A12" s="2" t="s">
        <v>48</v>
      </c>
      <c r="B12" s="2" t="s">
        <v>49</v>
      </c>
      <c r="C12" s="2" t="s">
        <v>23</v>
      </c>
      <c r="D12" s="3">
        <v>45708</v>
      </c>
      <c r="E12" s="2">
        <v>59000</v>
      </c>
      <c r="F12" s="4" t="s">
        <v>50</v>
      </c>
      <c r="G12" s="2" t="s">
        <v>11</v>
      </c>
    </row>
  </sheetData>
  <hyperlinks>
    <hyperlink ref="F2" r:id="rId1" display="mailto:rahim@gmail.com" xr:uid="{9D59FED0-1712-4ABB-8CAB-7CEA8051735F}"/>
    <hyperlink ref="F3" r:id="rId2" display="mailto:karim@gmail.com" xr:uid="{A31C9D12-5DF3-44DF-A1F6-7C82F3F27629}"/>
    <hyperlink ref="F4" r:id="rId3" display="mailto:nabila@gmail.com" xr:uid="{DB716FDA-7E1B-4E72-AC54-87F65F634A32}"/>
    <hyperlink ref="F5" r:id="rId4" display="mailto:rafi@gmail.com" xr:uid="{C839010F-4FAA-41A6-9257-A02422B7984C}"/>
    <hyperlink ref="F6" r:id="rId5" display="mailto:mim@gmail.com" xr:uid="{E9D1FBA5-EEF8-4262-9D3F-C234370396AE}"/>
    <hyperlink ref="F7" r:id="rId6" display="mailto:sajid@gmail.com" xr:uid="{C19E733A-9C69-429F-9583-E6806FC1FA38}"/>
    <hyperlink ref="F8" r:id="rId7" display="mailto:lamia@gmail.com" xr:uid="{888F3CAF-D329-4894-AF5F-A58B33356DF3}"/>
    <hyperlink ref="F9" r:id="rId8" display="mailto:faria@gmail.com" xr:uid="{19FE29D9-4BD7-484B-B03B-0C4A0A16E3CE}"/>
    <hyperlink ref="F10" r:id="rId9" display="mailto:ratul@gmail.com" xr:uid="{73B71B62-63FE-417F-A768-583C41411533}"/>
    <hyperlink ref="F11" r:id="rId10" display="mailto:anika@gmail.com" xr:uid="{FCF486AB-CF44-4C38-9319-98824715D2FB}"/>
    <hyperlink ref="F12" r:id="rId11" display="mailto:riad@gmail.com" xr:uid="{D2A1DEFA-88CE-41E1-9B09-E0FC33DBFD83}"/>
  </hyperlinks>
  <pageMargins left="0.7" right="0.7" top="0.75" bottom="0.75" header="0.3" footer="0.3"/>
  <tableParts count="2"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F647-EEF6-4804-BD97-214E6374CB98}">
  <dimension ref="A1:G17"/>
  <sheetViews>
    <sheetView tabSelected="1" workbookViewId="0">
      <selection activeCell="G16" sqref="G16"/>
    </sheetView>
  </sheetViews>
  <sheetFormatPr defaultRowHeight="14.4" x14ac:dyDescent="0.3"/>
  <cols>
    <col min="1" max="1" width="19.33203125" customWidth="1"/>
    <col min="2" max="2" width="20.77734375" customWidth="1"/>
    <col min="3" max="3" width="19.6640625" customWidth="1"/>
    <col min="4" max="4" width="17.21875" customWidth="1"/>
    <col min="5" max="5" width="2.6640625" hidden="1" customWidth="1"/>
    <col min="6" max="6" width="22.6640625" customWidth="1"/>
    <col min="7" max="7" width="20" customWidth="1"/>
  </cols>
  <sheetData>
    <row r="1" spans="1:7" ht="28.8" x14ac:dyDescent="0.3">
      <c r="A1" s="1" t="s">
        <v>63</v>
      </c>
      <c r="B1" s="1" t="s">
        <v>64</v>
      </c>
      <c r="C1" s="1" t="s">
        <v>65</v>
      </c>
      <c r="D1" s="1" t="s">
        <v>66</v>
      </c>
      <c r="F1" s="1" t="s">
        <v>71</v>
      </c>
      <c r="G1" s="1" t="s">
        <v>72</v>
      </c>
    </row>
    <row r="2" spans="1:7" ht="16.05" customHeight="1" x14ac:dyDescent="0.3">
      <c r="A2" s="2" t="s">
        <v>58</v>
      </c>
      <c r="B2" s="2">
        <v>40</v>
      </c>
      <c r="C2" s="2">
        <v>5000</v>
      </c>
      <c r="D2" s="2">
        <f t="shared" ref="D2:D7" si="0">B2*C2</f>
        <v>200000</v>
      </c>
      <c r="F2" s="2" t="s">
        <v>73</v>
      </c>
      <c r="G2" s="2">
        <v>250000</v>
      </c>
    </row>
    <row r="3" spans="1:7" ht="16.05" customHeight="1" x14ac:dyDescent="0.3">
      <c r="A3" s="2" t="s">
        <v>59</v>
      </c>
      <c r="B3" s="2">
        <v>45</v>
      </c>
      <c r="C3" s="2">
        <v>5000</v>
      </c>
      <c r="D3" s="2">
        <f t="shared" si="0"/>
        <v>225000</v>
      </c>
      <c r="F3" s="2" t="s">
        <v>74</v>
      </c>
      <c r="G3" s="2">
        <v>180000</v>
      </c>
    </row>
    <row r="4" spans="1:7" ht="16.05" customHeight="1" x14ac:dyDescent="0.3">
      <c r="A4" s="2" t="s">
        <v>67</v>
      </c>
      <c r="B4" s="2">
        <v>50</v>
      </c>
      <c r="C4" s="2">
        <v>5000</v>
      </c>
      <c r="D4" s="2">
        <f t="shared" si="0"/>
        <v>250000</v>
      </c>
      <c r="F4" s="2" t="s">
        <v>75</v>
      </c>
      <c r="G4" s="2">
        <v>70000</v>
      </c>
    </row>
    <row r="5" spans="1:7" ht="16.05" customHeight="1" x14ac:dyDescent="0.3">
      <c r="A5" s="2" t="s">
        <v>68</v>
      </c>
      <c r="B5" s="2">
        <v>55</v>
      </c>
      <c r="C5" s="2">
        <v>5000</v>
      </c>
      <c r="D5" s="2">
        <f t="shared" si="0"/>
        <v>275000</v>
      </c>
      <c r="F5" s="2" t="s">
        <v>76</v>
      </c>
      <c r="G5" s="2">
        <v>50000</v>
      </c>
    </row>
    <row r="6" spans="1:7" ht="16.05" customHeight="1" x14ac:dyDescent="0.3">
      <c r="A6" s="2" t="s">
        <v>60</v>
      </c>
      <c r="B6" s="2">
        <v>60</v>
      </c>
      <c r="C6" s="2">
        <v>5000</v>
      </c>
      <c r="D6" s="2">
        <f t="shared" si="0"/>
        <v>300000</v>
      </c>
      <c r="F6" s="2" t="s">
        <v>77</v>
      </c>
      <c r="G6" s="2">
        <f>SUM(G2:G5)</f>
        <v>550000</v>
      </c>
    </row>
    <row r="7" spans="1:7" ht="16.05" customHeight="1" x14ac:dyDescent="0.3">
      <c r="A7" s="2" t="s">
        <v>69</v>
      </c>
      <c r="B7" s="2">
        <v>65</v>
      </c>
      <c r="C7" s="2">
        <v>5000</v>
      </c>
      <c r="D7" s="2">
        <f t="shared" si="0"/>
        <v>325000</v>
      </c>
      <c r="F7" s="2" t="s">
        <v>78</v>
      </c>
      <c r="G7" s="2">
        <v>8000</v>
      </c>
    </row>
    <row r="8" spans="1:7" ht="16.05" customHeight="1" x14ac:dyDescent="0.3">
      <c r="A8" s="7" t="s">
        <v>70</v>
      </c>
      <c r="B8">
        <f>AVERAGE(B2:B7)</f>
        <v>52.5</v>
      </c>
      <c r="C8" s="6"/>
      <c r="D8" s="2">
        <f>AVERAGE(D2:D7)</f>
        <v>262500</v>
      </c>
      <c r="F8" s="2" t="s">
        <v>79</v>
      </c>
      <c r="G8" s="2">
        <v>50</v>
      </c>
    </row>
    <row r="9" spans="1:7" ht="16.05" customHeight="1" x14ac:dyDescent="0.3">
      <c r="F9" s="2" t="s">
        <v>80</v>
      </c>
      <c r="G9" s="2">
        <f>(G8*G7)</f>
        <v>400000</v>
      </c>
    </row>
    <row r="10" spans="1:7" ht="18.600000000000001" customHeight="1" x14ac:dyDescent="0.3">
      <c r="A10" s="2"/>
      <c r="F10" s="2" t="s">
        <v>81</v>
      </c>
      <c r="G10" s="2">
        <f>(G9-G6)</f>
        <v>-150000</v>
      </c>
    </row>
    <row r="11" spans="1:7" ht="19.95" customHeight="1" x14ac:dyDescent="0.3">
      <c r="A11" s="9" t="s">
        <v>84</v>
      </c>
      <c r="B11" s="9"/>
      <c r="C11" s="9"/>
      <c r="D11" s="9"/>
      <c r="E11" s="9"/>
      <c r="F11" s="9"/>
      <c r="G11" s="9"/>
    </row>
    <row r="12" spans="1:7" x14ac:dyDescent="0.3">
      <c r="A12" s="8" t="s">
        <v>85</v>
      </c>
      <c r="B12" s="8"/>
      <c r="C12" s="8" t="s">
        <v>83</v>
      </c>
      <c r="D12" s="8"/>
      <c r="E12" s="8"/>
      <c r="F12" s="8" t="s">
        <v>82</v>
      </c>
      <c r="G12" s="8"/>
    </row>
    <row r="13" spans="1:7" x14ac:dyDescent="0.3">
      <c r="A13" t="s">
        <v>86</v>
      </c>
      <c r="B13">
        <v>550000</v>
      </c>
      <c r="C13" t="s">
        <v>77</v>
      </c>
      <c r="D13">
        <v>550000</v>
      </c>
      <c r="F13" t="s">
        <v>77</v>
      </c>
      <c r="G13">
        <v>550000</v>
      </c>
    </row>
    <row r="14" spans="1:7" x14ac:dyDescent="0.3">
      <c r="A14" t="s">
        <v>78</v>
      </c>
      <c r="B14">
        <v>8000</v>
      </c>
      <c r="C14" t="s">
        <v>88</v>
      </c>
      <c r="D14">
        <f>(D16/D15)</f>
        <v>17000</v>
      </c>
      <c r="F14" t="s">
        <v>88</v>
      </c>
      <c r="G14">
        <v>8000</v>
      </c>
    </row>
    <row r="15" spans="1:7" x14ac:dyDescent="0.3">
      <c r="A15" t="s">
        <v>87</v>
      </c>
      <c r="B15">
        <v>120</v>
      </c>
      <c r="C15" t="s">
        <v>89</v>
      </c>
      <c r="D15">
        <v>50</v>
      </c>
      <c r="F15" t="s">
        <v>89</v>
      </c>
      <c r="G15">
        <f>(G16/G14)</f>
        <v>106.25</v>
      </c>
    </row>
    <row r="16" spans="1:7" x14ac:dyDescent="0.3">
      <c r="A16" t="s">
        <v>80</v>
      </c>
      <c r="B16">
        <f>(B14*B15)</f>
        <v>960000</v>
      </c>
      <c r="C16" t="s">
        <v>90</v>
      </c>
      <c r="D16">
        <f>(D13+D17)</f>
        <v>850000</v>
      </c>
      <c r="F16" t="s">
        <v>90</v>
      </c>
      <c r="G16">
        <v>850000</v>
      </c>
    </row>
    <row r="17" spans="1:7" x14ac:dyDescent="0.3">
      <c r="A17" t="s">
        <v>81</v>
      </c>
      <c r="B17">
        <f>(B16-B13)</f>
        <v>410000</v>
      </c>
      <c r="C17" t="s">
        <v>91</v>
      </c>
      <c r="D17">
        <v>300000</v>
      </c>
      <c r="F17" t="s">
        <v>91</v>
      </c>
      <c r="G17">
        <v>300000</v>
      </c>
    </row>
  </sheetData>
  <mergeCells count="4">
    <mergeCell ref="A12:B12"/>
    <mergeCell ref="C12:E12"/>
    <mergeCell ref="F12:G12"/>
    <mergeCell ref="A11:G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4E7F7-9424-4785-AF65-AA1EC442F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Rituparna Kundu</dc:creator>
  <cp:lastModifiedBy>Rituparna Kundu</cp:lastModifiedBy>
  <dcterms:created xsi:type="dcterms:W3CDTF">2026-06-16T05:39:10Z</dcterms:created>
  <dcterms:modified xsi:type="dcterms:W3CDTF">2026-06-16T07:48:35Z</dcterms:modified>
</cp:coreProperties>
</file>