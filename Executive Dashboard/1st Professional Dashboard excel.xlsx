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8_{2E8DD384-2A52-42F3-B23A-E1FC354CF408}" xr6:coauthVersionLast="47" xr6:coauthVersionMax="47" xr10:uidLastSave="{00000000-0000-0000-0000-000000000000}"/>
  <bookViews>
    <workbookView xWindow="-108" yWindow="-108" windowWidth="23256" windowHeight="12456" xr2:uid="{00000000-000D-0000-FFFF-FFFF00000000}"/>
  </bookViews>
  <sheets>
    <sheet name="PIVOT" sheetId="2" r:id="rId1"/>
    <sheet name="KPI" sheetId="3" r:id="rId2"/>
    <sheet name="Sales Data" sheetId="1" r:id="rId3"/>
  </sheets>
  <definedNames>
    <definedName name="Slicer_Month">#N/A</definedName>
    <definedName name="Slicer_Product_Name">#N/A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4" i="3" l="1"/>
  <c r="A21" i="3"/>
  <c r="A7" i="3"/>
</calcChain>
</file>

<file path=xl/sharedStrings.xml><?xml version="1.0" encoding="utf-8"?>
<sst xmlns="http://schemas.openxmlformats.org/spreadsheetml/2006/main" count="247" uniqueCount="96">
  <si>
    <t>Order ID</t>
  </si>
  <si>
    <t>Product Name</t>
  </si>
  <si>
    <t>Region</t>
  </si>
  <si>
    <t>Month</t>
  </si>
  <si>
    <t>Sales Amount (USD)</t>
  </si>
  <si>
    <t>Profit Amount (USD)</t>
  </si>
  <si>
    <t>ORD-1001</t>
  </si>
  <si>
    <t>Smart TV</t>
  </si>
  <si>
    <t>South</t>
  </si>
  <si>
    <t>April</t>
  </si>
  <si>
    <t>ORD-1002</t>
  </si>
  <si>
    <t>Keyboard</t>
  </si>
  <si>
    <t>North</t>
  </si>
  <si>
    <t>October</t>
  </si>
  <si>
    <t>ORD-1003</t>
  </si>
  <si>
    <t>Headphones</t>
  </si>
  <si>
    <t>September</t>
  </si>
  <si>
    <t>ORD-1004</t>
  </si>
  <si>
    <t>West</t>
  </si>
  <si>
    <t>ORD-1005</t>
  </si>
  <si>
    <t>Laptop</t>
  </si>
  <si>
    <t>December</t>
  </si>
  <si>
    <t>ORD-1006</t>
  </si>
  <si>
    <t>East</t>
  </si>
  <si>
    <t>February</t>
  </si>
  <si>
    <t>ORD-1007</t>
  </si>
  <si>
    <t>Camera</t>
  </si>
  <si>
    <t>Central</t>
  </si>
  <si>
    <t>May</t>
  </si>
  <si>
    <t>ORD-1008</t>
  </si>
  <si>
    <t>July</t>
  </si>
  <si>
    <t>ORD-1009</t>
  </si>
  <si>
    <t>Monitor</t>
  </si>
  <si>
    <t>ORD-1010</t>
  </si>
  <si>
    <t>ORD-1011</t>
  </si>
  <si>
    <t>Printer</t>
  </si>
  <si>
    <t>August</t>
  </si>
  <si>
    <t>ORD-1012</t>
  </si>
  <si>
    <t>ORD-1013</t>
  </si>
  <si>
    <t>Smartphone</t>
  </si>
  <si>
    <t>November</t>
  </si>
  <si>
    <t>ORD-1014</t>
  </si>
  <si>
    <t>Tablet</t>
  </si>
  <si>
    <t>ORD-1015</t>
  </si>
  <si>
    <t>ORD-1016</t>
  </si>
  <si>
    <t>January</t>
  </si>
  <si>
    <t>ORD-1017</t>
  </si>
  <si>
    <t>ORD-1018</t>
  </si>
  <si>
    <t>Speaker</t>
  </si>
  <si>
    <t>ORD-1019</t>
  </si>
  <si>
    <t>ORD-1020</t>
  </si>
  <si>
    <t>June</t>
  </si>
  <si>
    <t>ORD-1021</t>
  </si>
  <si>
    <t>ORD-1022</t>
  </si>
  <si>
    <t>ORD-1023</t>
  </si>
  <si>
    <t>ORD-1024</t>
  </si>
  <si>
    <t>ORD-1025</t>
  </si>
  <si>
    <t>ORD-1026</t>
  </si>
  <si>
    <t>March</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</si>
  <si>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</si>
  <si>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</si>
  <si>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</si>
  <si>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</si>
  <si>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</si>
  <si>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</si>
  <si>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</si>
  <si>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</si>
  <si>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</si>
  <si>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</si>
  <si>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</si>
  <si>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</si>
  <si>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</si>
  <si>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</si>
  <si>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</si>
  <si>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</si>
  <si>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</si>
  <si>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</si>
  <si>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</si>
  <si>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</si>
  <si>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</si>
  <si>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</si>
  <si>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</si>
  <si>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Grand Total</t>
  </si>
  <si>
    <t>Sum of Sales Amount (USD)</t>
  </si>
  <si>
    <t>PRODUCT</t>
  </si>
  <si>
    <t>MONTH</t>
  </si>
  <si>
    <t>REGION</t>
  </si>
  <si>
    <t>Sales Performance Dashboard</t>
  </si>
  <si>
    <t>Total Sales</t>
  </si>
  <si>
    <t>Top Product</t>
  </si>
  <si>
    <t>Best Region</t>
  </si>
  <si>
    <t xml:space="preserve">  Business Insights</t>
  </si>
  <si>
    <t>Headphones is the top-performing   product with over $100K in sales.</t>
  </si>
  <si>
    <t>South region generated the highest revenue, dominated by West and Central.</t>
  </si>
  <si>
    <t>Monitor sales need improvement as it is the lowest performer</t>
  </si>
  <si>
    <t xml:space="preserve">Highest sales peak achieved during April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</si>
</sst>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quot;$&quot;#,##0"/>
  </numFmts>
  <fonts count="13" x14ac:knownFonts="1">
    <font>
      <sz val="11"/>
      <color theme="1"/>
      <name val="Calibri"/>
      <family val="2"/>
      <scheme val="minor"/>
    </font>
    <font>
      <b/>
      <sz val="11"/>
      <color rgb="FFFFFFFF"/>
      <name val="Arial"/>
    </font>
    <font>
      <sz val="10"/>
      <name val="Arial"/>
    </font>
    <font>
      <sz val="11"/>
      <color theme="1"/>
      <name val="Calibri"/>
      <family val="2"/>
      <scheme val="minor"/>
    </font>
    <font>
      <sz val="11"/>
      <color theme="0"/>
      <name val="Calibri"/>
      <family val="2"/>
      <scheme val="minor"/>
    </font>
    <font>
      <sz val="8"/>
      <name val="Calibri"/>
      <family val="2"/>
      <scheme val="minor"/>
    </font>
    <font>
      <b/>
      <sz val="24"/>
      <color theme="0"/>
      <name val="Calibri"/>
      <family val="2"/>
      <scheme val="minor"/>
    </font>
    <font>
      <b/>
      <sz val="36"/>
      <color theme="1"/>
      <name val="Calibri"/>
      <family val="2"/>
      <scheme val="minor"/>
    </font>
    <font>
      <b/>
      <sz val="24"/>
      <color theme="1"/>
      <name val="Arial Black"/>
      <family val="2"/>
    </font>
    <font>
      <b/>
      <sz val="22"/>
      <color theme="1"/>
      <name val="Calibri"/>
      <family val="2"/>
      <scheme val="minor"/>
    </font>
    <font>
      <b/>
      <i/>
      <sz val="16"/>
      <color theme="1"/>
      <name val="Bahnschrift Light"/>
      <family val="2"/>
    </font>
    <font>
      <b/>
      <i/>
      <sz val="17"/>
      <color theme="1"/>
      <name val="Bahnschrift Light"/>
      <family val="2"/>
    </font>
    <font>
      <sz val="28"/>
      <color theme="1"/>
      <name val="Arial Black"/>
      <family val="2"/>
    </font>
  </fonts>
  <fills count="14">
    <fill>
      <patternFill patternType="none"/>
    </fill>
    <fill>
      <patternFill patternType="gray125"/>
    </fill>
    <fill>
      <patternFill patternType="solid">
        <fgColor rgb="FF1F4E79"/>
      </patternFill>
    </fill>
    <fill>
      <patternFill patternType="solid">
        <fgColor rgb="FFD6E4F0"/>
      </patternFill>
    </fill>
    <fill>
      <patternFill patternType="solid">
        <fgColor theme="5"/>
      </patternFill>
    </fill>
    <fill>
      <patternFill patternType="solid">
        <fgColor rgb="FFC00000"/>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00B050"/>
        <bgColor indexed="64"/>
      </patternFill>
    </fill>
    <fill>
      <patternFill patternType="solid">
        <fgColor theme="7" tint="0.59999389629810485"/>
        <bgColor indexed="64"/>
      </patternFill>
    </fill>
  </fills>
  <borders count="33">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ck">
        <color indexed="64"/>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top/>
      <bottom/>
      <diagonal/>
    </border>
    <border>
      <left style="thick">
        <color indexed="64"/>
      </left>
      <right style="thin">
        <color indexed="64"/>
      </right>
      <top style="thin">
        <color indexed="64"/>
      </top>
      <bottom style="thin">
        <color indexed="64"/>
      </bottom>
      <diagonal/>
    </border>
    <border>
      <left/>
      <right/>
      <top style="slantDashDot">
        <color auto="1"/>
      </top>
      <bottom/>
      <diagonal/>
    </border>
    <border>
      <left/>
      <right style="slantDashDot">
        <color auto="1"/>
      </right>
      <top style="slantDashDot">
        <color auto="1"/>
      </top>
      <bottom/>
      <diagonal/>
    </border>
    <border>
      <left/>
      <right style="slantDashDot">
        <color auto="1"/>
      </right>
      <top/>
      <bottom/>
      <diagonal/>
    </border>
    <border>
      <left/>
      <right/>
      <top/>
      <bottom style="slantDashDot">
        <color auto="1"/>
      </bottom>
      <diagonal/>
    </border>
    <border>
      <left/>
      <right style="slantDashDot">
        <color auto="1"/>
      </right>
      <top/>
      <bottom style="slantDashDot">
        <color auto="1"/>
      </bottom>
      <diagonal/>
    </border>
    <border>
      <left style="thick">
        <color indexed="64"/>
      </left>
      <right/>
      <top style="thick">
        <color indexed="64"/>
      </top>
      <bottom/>
      <diagonal/>
    </border>
    <border>
      <left/>
      <right style="thick">
        <color indexed="64"/>
      </right>
      <top style="thick">
        <color indexed="64"/>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style="thick">
        <color auto="1"/>
      </left>
      <right/>
      <top style="slantDashDot">
        <color auto="1"/>
      </top>
      <bottom/>
      <diagonal/>
    </border>
    <border>
      <left style="thick">
        <color auto="1"/>
      </left>
      <right/>
      <top/>
      <bottom style="slantDashDot">
        <color auto="1"/>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s>
  <cellStyleXfs count="3">
    <xf numFmtId="0" fontId="0" fillId="0" borderId="0"/>
    <xf numFmtId="9" fontId="3" fillId="0" borderId="0" applyFont="0" applyFill="0" applyBorder="0" applyAlignment="0" applyProtection="0"/>
    <xf numFmtId="0" fontId="4" fillId="4" borderId="0" applyNumberFormat="0" applyBorder="0" applyAlignment="0" applyProtection="0"/>
  </cellStyleXfs>
  <cellXfs count="80">
    <xf numFmtId="0" fontId="0" fillId="0" borderId="0" xfId="0"/>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0" borderId="2" xfId="0" applyFont="1" applyBorder="1" applyAlignment="1">
      <alignment horizontal="center" vertical="center"/>
    </xf>
    <xf numFmtId="0" fontId="2" fillId="3" borderId="2" xfId="0" applyFont="1" applyFill="1" applyBorder="1" applyAlignment="1">
      <alignment horizontal="center" vertical="center"/>
    </xf>
    <xf numFmtId="0" fontId="2" fillId="0" borderId="3" xfId="0" applyFont="1" applyBorder="1" applyAlignment="1">
      <alignment horizontal="center" vertical="center"/>
    </xf>
    <xf numFmtId="0" fontId="2" fillId="3"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6" fillId="5" borderId="8" xfId="2" applyFont="1" applyFill="1" applyBorder="1" applyAlignment="1">
      <alignment horizontal="center"/>
    </xf>
    <xf numFmtId="0" fontId="6" fillId="5" borderId="9" xfId="2" applyFont="1" applyFill="1" applyBorder="1" applyAlignment="1">
      <alignment horizontal="center"/>
    </xf>
    <xf numFmtId="0" fontId="6" fillId="5" borderId="10" xfId="2" applyFont="1" applyFill="1" applyBorder="1" applyAlignment="1">
      <alignment horizontal="center"/>
    </xf>
    <xf numFmtId="0" fontId="6" fillId="5" borderId="11" xfId="2" applyFont="1" applyFill="1" applyBorder="1" applyAlignment="1">
      <alignment horizontal="center"/>
    </xf>
    <xf numFmtId="0" fontId="6" fillId="5" borderId="12" xfId="2" applyFont="1" applyFill="1" applyBorder="1" applyAlignment="1">
      <alignment horizontal="center"/>
    </xf>
    <xf numFmtId="0" fontId="6" fillId="5" borderId="13" xfId="2" applyFont="1" applyFill="1" applyBorder="1" applyAlignment="1">
      <alignment horizontal="center"/>
    </xf>
    <xf numFmtId="0" fontId="0" fillId="11" borderId="0" xfId="0" applyFill="1" applyAlignment="1">
      <alignment horizontal="center"/>
    </xf>
    <xf numFmtId="0" fontId="9" fillId="12" borderId="7" xfId="0" applyFont="1" applyFill="1" applyBorder="1" applyAlignment="1">
      <alignment horizontal="center"/>
    </xf>
    <xf numFmtId="0" fontId="9" fillId="12" borderId="18" xfId="0" applyFont="1" applyFill="1" applyBorder="1" applyAlignment="1">
      <alignment horizontal="center"/>
    </xf>
    <xf numFmtId="0" fontId="9" fillId="12" borderId="15" xfId="0" applyFont="1" applyFill="1" applyBorder="1" applyAlignment="1">
      <alignment horizontal="center"/>
    </xf>
    <xf numFmtId="0" fontId="9" fillId="12" borderId="16" xfId="0" applyFont="1" applyFill="1" applyBorder="1" applyAlignment="1">
      <alignment horizontal="center"/>
    </xf>
    <xf numFmtId="0" fontId="11" fillId="6" borderId="19" xfId="0" applyFont="1" applyFill="1" applyBorder="1" applyAlignment="1">
      <alignment horizontal="center" vertical="center" wrapText="1"/>
    </xf>
    <xf numFmtId="0" fontId="10" fillId="13" borderId="19" xfId="0" applyFont="1" applyFill="1" applyBorder="1" applyAlignment="1">
      <alignment horizontal="center" vertical="center" wrapText="1"/>
    </xf>
    <xf numFmtId="0" fontId="10" fillId="13" borderId="20" xfId="0" applyFont="1" applyFill="1" applyBorder="1" applyAlignment="1">
      <alignment horizontal="center" vertical="center" wrapText="1"/>
    </xf>
    <xf numFmtId="0" fontId="10" fillId="13" borderId="0" xfId="0" applyFont="1" applyFill="1" applyBorder="1" applyAlignment="1">
      <alignment horizontal="center" vertical="center" wrapText="1"/>
    </xf>
    <xf numFmtId="0" fontId="10" fillId="13" borderId="21" xfId="0" applyFont="1" applyFill="1" applyBorder="1" applyAlignment="1">
      <alignment horizontal="center" vertical="center" wrapText="1"/>
    </xf>
    <xf numFmtId="0" fontId="10" fillId="13" borderId="22" xfId="0" applyFont="1" applyFill="1" applyBorder="1" applyAlignment="1">
      <alignment horizontal="center" vertical="center" wrapText="1"/>
    </xf>
    <xf numFmtId="0" fontId="10" fillId="13" borderId="23"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0"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0" fillId="6" borderId="23" xfId="0" applyFont="1" applyFill="1" applyBorder="1" applyAlignment="1">
      <alignment horizontal="center" vertical="center" wrapText="1"/>
    </xf>
    <xf numFmtId="0" fontId="8" fillId="9" borderId="7" xfId="0" applyFont="1" applyFill="1" applyBorder="1" applyAlignment="1">
      <alignment horizontal="center" vertical="center"/>
    </xf>
    <xf numFmtId="0" fontId="7" fillId="8" borderId="7" xfId="0" applyFont="1" applyFill="1" applyBorder="1" applyAlignment="1">
      <alignment horizontal="center" vertical="center"/>
    </xf>
    <xf numFmtId="172" fontId="8" fillId="7" borderId="7" xfId="1" applyNumberFormat="1" applyFont="1" applyFill="1" applyBorder="1" applyAlignment="1">
      <alignment horizontal="center" vertical="center"/>
    </xf>
    <xf numFmtId="172" fontId="8" fillId="7" borderId="16" xfId="1" applyNumberFormat="1" applyFont="1" applyFill="1" applyBorder="1" applyAlignment="1">
      <alignment horizontal="center" vertical="center"/>
    </xf>
    <xf numFmtId="0" fontId="7" fillId="6" borderId="7" xfId="0" applyFont="1" applyFill="1" applyBorder="1" applyAlignment="1">
      <alignment horizontal="center" vertical="center"/>
    </xf>
    <xf numFmtId="0" fontId="7" fillId="10" borderId="7" xfId="0" applyFont="1" applyFill="1" applyBorder="1" applyAlignment="1">
      <alignment horizontal="center" vertical="center"/>
    </xf>
    <xf numFmtId="0" fontId="12" fillId="9" borderId="7" xfId="0" applyFont="1" applyFill="1" applyBorder="1" applyAlignment="1">
      <alignment horizontal="center" vertical="center"/>
    </xf>
    <xf numFmtId="0" fontId="0" fillId="11" borderId="24" xfId="0" applyFill="1" applyBorder="1"/>
    <xf numFmtId="0" fontId="0" fillId="11" borderId="14" xfId="0" applyFill="1" applyBorder="1"/>
    <xf numFmtId="0" fontId="0" fillId="11" borderId="25" xfId="0" applyFill="1" applyBorder="1"/>
    <xf numFmtId="0" fontId="0" fillId="11" borderId="17" xfId="0" applyFill="1" applyBorder="1"/>
    <xf numFmtId="0" fontId="0" fillId="11" borderId="0" xfId="0" applyFill="1" applyBorder="1"/>
    <xf numFmtId="0" fontId="0" fillId="11" borderId="26" xfId="0" applyFill="1" applyBorder="1"/>
    <xf numFmtId="0" fontId="0" fillId="11" borderId="27" xfId="0" applyFill="1" applyBorder="1"/>
    <xf numFmtId="0" fontId="0" fillId="11" borderId="28" xfId="0" applyFill="1" applyBorder="1"/>
    <xf numFmtId="0" fontId="11" fillId="6" borderId="20" xfId="0" applyFont="1" applyFill="1" applyBorder="1" applyAlignment="1">
      <alignment horizontal="center" vertical="center" wrapText="1"/>
    </xf>
    <xf numFmtId="0" fontId="11" fillId="6" borderId="0"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2" xfId="0" applyFont="1" applyFill="1" applyBorder="1" applyAlignment="1">
      <alignment horizontal="center" vertical="center" wrapText="1"/>
    </xf>
    <xf numFmtId="0" fontId="11" fillId="6" borderId="23" xfId="0" applyFont="1" applyFill="1" applyBorder="1" applyAlignment="1">
      <alignment horizontal="center" vertical="center" wrapText="1"/>
    </xf>
    <xf numFmtId="0" fontId="11" fillId="6" borderId="2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2" fillId="9" borderId="31" xfId="0" applyFont="1" applyFill="1" applyBorder="1" applyAlignment="1">
      <alignment horizontal="center" vertical="center"/>
    </xf>
    <xf numFmtId="0" fontId="12" fillId="9" borderId="12" xfId="0" applyFont="1" applyFill="1" applyBorder="1" applyAlignment="1">
      <alignment horizontal="center" vertical="center"/>
    </xf>
    <xf numFmtId="0" fontId="12" fillId="9" borderId="13"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18" xfId="0" applyFont="1" applyFill="1" applyBorder="1" applyAlignment="1">
      <alignment horizontal="center" vertical="center"/>
    </xf>
    <xf numFmtId="0" fontId="7" fillId="6" borderId="31" xfId="0" applyFont="1" applyFill="1" applyBorder="1" applyAlignment="1">
      <alignment horizontal="center" vertical="center"/>
    </xf>
    <xf numFmtId="172" fontId="8" fillId="7" borderId="18" xfId="1" applyNumberFormat="1" applyFont="1" applyFill="1" applyBorder="1" applyAlignment="1">
      <alignment horizontal="center" vertical="center"/>
    </xf>
    <xf numFmtId="172" fontId="8" fillId="7" borderId="31" xfId="1" applyNumberFormat="1" applyFont="1" applyFill="1" applyBorder="1" applyAlignment="1">
      <alignment horizontal="center" vertical="center"/>
    </xf>
    <xf numFmtId="172" fontId="8" fillId="7" borderId="15" xfId="1" applyNumberFormat="1" applyFont="1" applyFill="1" applyBorder="1" applyAlignment="1">
      <alignment horizontal="center" vertical="center"/>
    </xf>
    <xf numFmtId="172" fontId="8" fillId="7" borderId="32" xfId="1" applyNumberFormat="1" applyFont="1" applyFill="1" applyBorder="1" applyAlignment="1">
      <alignment horizontal="center" vertical="center"/>
    </xf>
    <xf numFmtId="0" fontId="7" fillId="8" borderId="18" xfId="0" applyFont="1" applyFill="1" applyBorder="1" applyAlignment="1">
      <alignment horizontal="center" vertical="center"/>
    </xf>
    <xf numFmtId="0" fontId="7" fillId="8" borderId="31" xfId="0" applyFont="1" applyFill="1" applyBorder="1" applyAlignment="1">
      <alignment horizontal="center" vertical="center"/>
    </xf>
    <xf numFmtId="0" fontId="8" fillId="9" borderId="18" xfId="0" applyFont="1" applyFill="1" applyBorder="1" applyAlignment="1">
      <alignment horizontal="center" vertical="center"/>
    </xf>
    <xf numFmtId="0" fontId="8" fillId="9" borderId="31" xfId="0" applyFont="1" applyFill="1" applyBorder="1" applyAlignment="1">
      <alignment horizontal="center" vertical="center"/>
    </xf>
    <xf numFmtId="0" fontId="7" fillId="10" borderId="18" xfId="0" applyFont="1" applyFill="1" applyBorder="1" applyAlignment="1">
      <alignment horizontal="center" vertical="center"/>
    </xf>
    <xf numFmtId="0" fontId="7" fillId="10" borderId="31" xfId="0" applyFont="1" applyFill="1" applyBorder="1" applyAlignment="1">
      <alignment horizontal="center" vertical="center"/>
    </xf>
    <xf numFmtId="0" fontId="12" fillId="9" borderId="18" xfId="0" applyFont="1" applyFill="1" applyBorder="1" applyAlignment="1">
      <alignment horizontal="center" vertical="center"/>
    </xf>
    <xf numFmtId="0" fontId="12" fillId="9" borderId="11" xfId="0" applyFont="1" applyFill="1" applyBorder="1" applyAlignment="1">
      <alignment horizontal="center" vertical="center"/>
    </xf>
  </cellXfs>
  <cellStyles count="3">
    <cellStyle name="Accent2" xfId="2" builtinId="33"/>
    <cellStyle name="Normal" xfId="0" builtinId="0"/>
    <cellStyle name="Percent" xfId="1" builtinId="5"/>
  </cellStyles>
  <dxfs count="17">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outline="0">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outline="0">
        <left style="thin">
          <color rgb="FFCCCCCC"/>
        </left>
        <right style="thin">
          <color rgb="FFCCCCCC"/>
        </right>
        <top style="thin">
          <color rgb="FFCCCCCC"/>
        </top>
        <bottom/>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outline="0">
        <left style="thin">
          <color rgb="FFCCCCCC"/>
        </left>
        <right/>
        <top style="thin">
          <color rgb="FFCCCCCC"/>
        </top>
        <bottom/>
      </border>
    </dxf>
    <dxf>
      <font>
        <b/>
        <i val="0"/>
        <strike val="0"/>
        <condense val="0"/>
        <extend val="0"/>
        <outline val="0"/>
        <shadow val="0"/>
        <u val="none"/>
        <vertAlign val="baseline"/>
        <sz val="11"/>
        <color rgb="FFFFFFFF"/>
        <name val="Arial"/>
        <scheme val="none"/>
      </font>
      <fill>
        <patternFill patternType="solid">
          <fgColor indexed="64"/>
          <bgColor rgb="FF1F4E79"/>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D6E4F0"/>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CCCCCC"/>
        </left>
        <right style="thin">
          <color rgb="FFCCCCCC"/>
        </right>
        <top style="thin">
          <color rgb="FFCCCCCC"/>
        </top>
        <bottom style="thin">
          <color rgb="FFCCCCCC"/>
        </bottom>
      </border>
    </dxf>
  </dxfs>
  <tableStyles count="0" defaultTableStyle="TableStyleMedium9" defaultPivotStyle="PivotStyleLight16"/>
  <colors>
    <mruColors>
      <color rgb="FF3250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07.xlsx]PIVOT!PivotTable1</c:name>
    <c:fmtId val="32"/>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r>
              <a:rPr lang="en-US" sz="1400" b="0" i="0" u="none" strike="noStrike" baseline="0">
                <a:ln>
                  <a:solidFill>
                    <a:schemeClr val="tx1"/>
                  </a:solidFill>
                </a:ln>
                <a:solidFill>
                  <a:schemeClr val="tx1"/>
                </a:solidFill>
              </a:rPr>
              <a:t>Product-wise Column Chart</a:t>
            </a:r>
            <a:endParaRPr lang="en-US">
              <a:ln>
                <a:solidFill>
                  <a:schemeClr val="tx1"/>
                </a:solidFill>
              </a:ln>
              <a:solidFill>
                <a:schemeClr val="tx1"/>
              </a:solidFill>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a:glow rad="228600">
                <a:schemeClr val="tx2">
                  <a:lumMod val="20000"/>
                  <a:lumOff val="80000"/>
                  <a:alpha val="40000"/>
                </a:schemeClr>
              </a:glow>
              <a:outerShdw blurRad="76200" dir="18900000" sy="23000" kx="-1200000" algn="bl" rotWithShape="0">
                <a:prstClr val="black">
                  <a:alpha val="20000"/>
                </a:prstClr>
              </a:outerShdw>
              <a:softEdge rad="12700"/>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PIVOT!$B$1</c:f>
              <c:strCache>
                <c:ptCount val="1"/>
                <c:pt idx="0">
                  <c:v>Total</c:v>
                </c:pt>
              </c:strCache>
            </c:strRef>
          </c:tx>
          <c:spPr>
            <a:solidFill>
              <a:schemeClr val="accent1"/>
            </a:solidFill>
            <a:ln>
              <a:noFill/>
            </a:ln>
            <a:effectLst/>
            <a:sp3d/>
          </c:spPr>
          <c:invertIfNegative val="0"/>
          <c:dLbls>
            <c:delete val="1"/>
          </c:dLbls>
          <c:cat>
            <c:strRef>
              <c:f>PIVOT!$A$2:$A$12</c:f>
              <c:strCache>
                <c:ptCount val="10"/>
                <c:pt idx="0">
                  <c:v>Tablet</c:v>
                </c:pt>
                <c:pt idx="1">
                  <c:v>Speaker</c:v>
                </c:pt>
                <c:pt idx="2">
                  <c:v>Smartphone</c:v>
                </c:pt>
                <c:pt idx="3">
                  <c:v>Smart TV</c:v>
                </c:pt>
                <c:pt idx="4">
                  <c:v>Printer</c:v>
                </c:pt>
                <c:pt idx="5">
                  <c:v>Monitor</c:v>
                </c:pt>
                <c:pt idx="6">
                  <c:v>Laptop</c:v>
                </c:pt>
                <c:pt idx="7">
                  <c:v>Keyboard</c:v>
                </c:pt>
                <c:pt idx="8">
                  <c:v>Headphones</c:v>
                </c:pt>
                <c:pt idx="9">
                  <c:v>Camera</c:v>
                </c:pt>
              </c:strCache>
            </c:strRef>
          </c:cat>
          <c:val>
            <c:numRef>
              <c:f>PIVOT!$B$2:$B$12</c:f>
              <c:numCache>
                <c:formatCode>General</c:formatCode>
                <c:ptCount val="10"/>
                <c:pt idx="0">
                  <c:v>37926.070000000007</c:v>
                </c:pt>
                <c:pt idx="1">
                  <c:v>36102.36</c:v>
                </c:pt>
                <c:pt idx="2">
                  <c:v>53808.740000000005</c:v>
                </c:pt>
                <c:pt idx="3">
                  <c:v>64112.4442692308</c:v>
                </c:pt>
                <c:pt idx="4">
                  <c:v>40379.57</c:v>
                </c:pt>
                <c:pt idx="5">
                  <c:v>21570.832959662301</c:v>
                </c:pt>
                <c:pt idx="6">
                  <c:v>41628.898614446502</c:v>
                </c:pt>
                <c:pt idx="7">
                  <c:v>98389.589757035705</c:v>
                </c:pt>
                <c:pt idx="8">
                  <c:v>100911.20114258921</c:v>
                </c:pt>
                <c:pt idx="9">
                  <c:v>46563.300787054402</c:v>
                </c:pt>
              </c:numCache>
            </c:numRef>
          </c:val>
          <c:extLst>
            <c:ext xmlns:c16="http://schemas.microsoft.com/office/drawing/2014/chart" uri="{C3380CC4-5D6E-409C-BE32-E72D297353CC}">
              <c16:uniqueId val="{00000000-8D0F-4015-95F8-3BA0F0A20026}"/>
            </c:ext>
          </c:extLst>
        </c:ser>
        <c:dLbls>
          <c:showLegendKey val="0"/>
          <c:showVal val="1"/>
          <c:showCatName val="0"/>
          <c:showSerName val="0"/>
          <c:showPercent val="0"/>
          <c:showBubbleSize val="0"/>
        </c:dLbls>
        <c:gapWidth val="150"/>
        <c:shape val="box"/>
        <c:axId val="614607624"/>
        <c:axId val="614608704"/>
        <c:axId val="0"/>
      </c:bar3DChart>
      <c:catAx>
        <c:axId val="614607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14608704"/>
        <c:crosses val="autoZero"/>
        <c:auto val="1"/>
        <c:lblAlgn val="ctr"/>
        <c:lblOffset val="100"/>
        <c:noMultiLvlLbl val="0"/>
      </c:catAx>
      <c:valAx>
        <c:axId val="614608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14607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07.xlsx]PIVOT!PivotTable2</c:name>
    <c:fmtId val="0"/>
  </c:pivotSource>
  <c:chart>
    <c:title>
      <c:tx>
        <c:rich>
          <a:bodyPr rot="0" spcFirstLastPara="1" vertOverflow="ellipsis" vert="horz" wrap="square" anchor="ctr" anchorCtr="1"/>
          <a:lstStyle/>
          <a:p>
            <a:pPr>
              <a:defRPr sz="1440" b="0" i="0" u="none" strike="noStrike" kern="1200" spc="0" baseline="0">
                <a:ln>
                  <a:solidFill>
                    <a:schemeClr val="tx1"/>
                  </a:solidFill>
                </a:ln>
                <a:solidFill>
                  <a:schemeClr val="tx1">
                    <a:lumMod val="65000"/>
                    <a:lumOff val="35000"/>
                  </a:schemeClr>
                </a:solidFill>
                <a:latin typeface="+mn-lt"/>
                <a:ea typeface="+mn-ea"/>
                <a:cs typeface="+mn-cs"/>
              </a:defRPr>
            </a:pPr>
            <a:r>
              <a:rPr lang="en-US" sz="1440" b="0" i="0" u="none" strike="noStrike" baseline="0">
                <a:ln>
                  <a:solidFill>
                    <a:schemeClr val="tx1"/>
                  </a:solidFill>
                </a:ln>
              </a:rPr>
              <a:t>Region-wise Sales Analysis</a:t>
            </a:r>
            <a:endParaRPr lang="en-US">
              <a:ln>
                <a:solidFill>
                  <a:schemeClr val="tx1"/>
                </a:solidFill>
              </a:ln>
            </a:endParaRPr>
          </a:p>
        </c:rich>
      </c:tx>
      <c:overlay val="0"/>
      <c:spPr>
        <a:solidFill>
          <a:schemeClr val="accent1">
            <a:lumMod val="20000"/>
            <a:lumOff val="80000"/>
          </a:schemeClr>
        </a:solidFill>
        <a:ln>
          <a:solidFill>
            <a:schemeClr val="tx1"/>
          </a:solidFill>
        </a:ln>
        <a:effectLst/>
      </c:spPr>
      <c:txPr>
        <a:bodyPr rot="0" spcFirstLastPara="1" vertOverflow="ellipsis" vert="horz" wrap="square" anchor="ctr" anchorCtr="1"/>
        <a:lstStyle/>
        <a:p>
          <a:pPr>
            <a:defRPr sz="144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77777777777778E-2"/>
          <c:y val="0.23997601293215837"/>
          <c:w val="0.80020384951881018"/>
          <c:h val="0.69821383254245539"/>
        </c:manualLayout>
      </c:layout>
      <c:ofPieChart>
        <c:ofPieType val="pie"/>
        <c:varyColors val="1"/>
        <c:ser>
          <c:idx val="0"/>
          <c:order val="0"/>
          <c:tx>
            <c:strRef>
              <c:f>PIVOT!$H$1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PIVOT!$G$2:$G$7</c:f>
              <c:strCache>
                <c:ptCount val="5"/>
                <c:pt idx="0">
                  <c:v>Central</c:v>
                </c:pt>
                <c:pt idx="1">
                  <c:v>East</c:v>
                </c:pt>
                <c:pt idx="2">
                  <c:v>North</c:v>
                </c:pt>
                <c:pt idx="3">
                  <c:v>South</c:v>
                </c:pt>
                <c:pt idx="4">
                  <c:v>West</c:v>
                </c:pt>
              </c:strCache>
            </c:strRef>
          </c:cat>
          <c:val>
            <c:numRef>
              <c:f>PIVOT!$H$2:$H$7</c:f>
              <c:numCache>
                <c:formatCode>General</c:formatCode>
                <c:ptCount val="5"/>
                <c:pt idx="0">
                  <c:v>116035.5207870544</c:v>
                </c:pt>
                <c:pt idx="1">
                  <c:v>100061.14766041281</c:v>
                </c:pt>
                <c:pt idx="2">
                  <c:v>98364.267228893106</c:v>
                </c:pt>
                <c:pt idx="3">
                  <c:v>168773.85932551601</c:v>
                </c:pt>
                <c:pt idx="4">
                  <c:v>58158.212528142598</c:v>
                </c:pt>
              </c:numCache>
            </c:numRef>
          </c:val>
          <c:extLst>
            <c:ext xmlns:c16="http://schemas.microsoft.com/office/drawing/2014/chart" uri="{C3380CC4-5D6E-409C-BE32-E72D297353CC}">
              <c16:uniqueId val="{00000000-3D20-4C44-9BD9-CBE4BEC50B02}"/>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07.xlsx]PIVOT!PivotTable3</c:name>
    <c:fmtId val="3"/>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r>
              <a:rPr lang="en-US" sz="1400" b="0" i="0" u="none" strike="noStrike" baseline="0">
                <a:ln>
                  <a:solidFill>
                    <a:schemeClr val="tx1"/>
                  </a:solidFill>
                </a:ln>
              </a:rPr>
              <a:t>Monthly Sales Trend</a:t>
            </a:r>
            <a:endParaRPr lang="en-US">
              <a:ln>
                <a:solidFill>
                  <a:schemeClr val="tx1"/>
                </a:solidFill>
              </a:ln>
            </a:endParaRPr>
          </a:p>
        </c:rich>
      </c:tx>
      <c:overlay val="0"/>
      <c:spPr>
        <a:solidFill>
          <a:schemeClr val="accent1">
            <a:lumMod val="20000"/>
            <a:lumOff val="80000"/>
          </a:schemeClr>
        </a:solidFill>
        <a:ln>
          <a:solidFill>
            <a:schemeClr val="tx1"/>
          </a:solid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PIVOT!$D$2:$D$14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PIVOT!$E$2:$E$14</c:f>
              <c:numCache>
                <c:formatCode>General</c:formatCode>
                <c:ptCount val="12"/>
                <c:pt idx="0">
                  <c:v>25814.239999999998</c:v>
                </c:pt>
                <c:pt idx="1">
                  <c:v>69358.374700750486</c:v>
                </c:pt>
                <c:pt idx="2">
                  <c:v>19494.36</c:v>
                </c:pt>
                <c:pt idx="3">
                  <c:v>89354.116797373412</c:v>
                </c:pt>
                <c:pt idx="4">
                  <c:v>33485.300787054402</c:v>
                </c:pt>
                <c:pt idx="5">
                  <c:v>5992.09</c:v>
                </c:pt>
                <c:pt idx="6">
                  <c:v>33583.916873358401</c:v>
                </c:pt>
                <c:pt idx="7">
                  <c:v>40379.57</c:v>
                </c:pt>
                <c:pt idx="8">
                  <c:v>49622.646441838697</c:v>
                </c:pt>
                <c:pt idx="9">
                  <c:v>58660.453315197003</c:v>
                </c:pt>
                <c:pt idx="10">
                  <c:v>63926.35</c:v>
                </c:pt>
                <c:pt idx="11">
                  <c:v>51721.588614446504</c:v>
                </c:pt>
              </c:numCache>
            </c:numRef>
          </c:val>
          <c:smooth val="0"/>
          <c:extLst>
            <c:ext xmlns:c16="http://schemas.microsoft.com/office/drawing/2014/chart" uri="{C3380CC4-5D6E-409C-BE32-E72D297353CC}">
              <c16:uniqueId val="{00000000-250D-4746-83AA-50798CFD0829}"/>
            </c:ext>
          </c:extLst>
        </c:ser>
        <c:dLbls>
          <c:showLegendKey val="0"/>
          <c:showVal val="0"/>
          <c:showCatName val="0"/>
          <c:showSerName val="0"/>
          <c:showPercent val="0"/>
          <c:showBubbleSize val="0"/>
        </c:dLbls>
        <c:marker val="1"/>
        <c:smooth val="0"/>
        <c:axId val="358208464"/>
        <c:axId val="358211344"/>
      </c:lineChart>
      <c:catAx>
        <c:axId val="3582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11344"/>
        <c:crosses val="autoZero"/>
        <c:auto val="1"/>
        <c:lblAlgn val="ctr"/>
        <c:lblOffset val="100"/>
        <c:noMultiLvlLbl val="0"/>
      </c:catAx>
      <c:valAx>
        <c:axId val="35821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0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07.xlsx]PIVOT!PivotTable1</c:name>
    <c:fmtId val="4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Product-wise Column Chart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PIVOT!$A$2:$A$12</c:f>
              <c:strCache>
                <c:ptCount val="10"/>
                <c:pt idx="0">
                  <c:v>Tablet</c:v>
                </c:pt>
                <c:pt idx="1">
                  <c:v>Speaker</c:v>
                </c:pt>
                <c:pt idx="2">
                  <c:v>Smartphone</c:v>
                </c:pt>
                <c:pt idx="3">
                  <c:v>Smart TV</c:v>
                </c:pt>
                <c:pt idx="4">
                  <c:v>Printer</c:v>
                </c:pt>
                <c:pt idx="5">
                  <c:v>Monitor</c:v>
                </c:pt>
                <c:pt idx="6">
                  <c:v>Laptop</c:v>
                </c:pt>
                <c:pt idx="7">
                  <c:v>Keyboard</c:v>
                </c:pt>
                <c:pt idx="8">
                  <c:v>Headphones</c:v>
                </c:pt>
                <c:pt idx="9">
                  <c:v>Camera</c:v>
                </c:pt>
              </c:strCache>
            </c:strRef>
          </c:cat>
          <c:val>
            <c:numRef>
              <c:f>PIVOT!$B$2:$B$12</c:f>
              <c:numCache>
                <c:formatCode>General</c:formatCode>
                <c:ptCount val="10"/>
                <c:pt idx="0">
                  <c:v>37926.070000000007</c:v>
                </c:pt>
                <c:pt idx="1">
                  <c:v>36102.36</c:v>
                </c:pt>
                <c:pt idx="2">
                  <c:v>53808.740000000005</c:v>
                </c:pt>
                <c:pt idx="3">
                  <c:v>64112.4442692308</c:v>
                </c:pt>
                <c:pt idx="4">
                  <c:v>40379.57</c:v>
                </c:pt>
                <c:pt idx="5">
                  <c:v>21570.832959662301</c:v>
                </c:pt>
                <c:pt idx="6">
                  <c:v>41628.898614446502</c:v>
                </c:pt>
                <c:pt idx="7">
                  <c:v>98389.589757035705</c:v>
                </c:pt>
                <c:pt idx="8">
                  <c:v>100911.20114258921</c:v>
                </c:pt>
                <c:pt idx="9">
                  <c:v>46563.300787054402</c:v>
                </c:pt>
              </c:numCache>
            </c:numRef>
          </c:val>
          <c:extLst>
            <c:ext xmlns:c16="http://schemas.microsoft.com/office/drawing/2014/chart" uri="{C3380CC4-5D6E-409C-BE32-E72D297353CC}">
              <c16:uniqueId val="{00000000-B635-4752-BFFE-4C40CBB26F7F}"/>
            </c:ext>
          </c:extLst>
        </c:ser>
        <c:dLbls>
          <c:showLegendKey val="0"/>
          <c:showVal val="1"/>
          <c:showCatName val="0"/>
          <c:showSerName val="0"/>
          <c:showPercent val="0"/>
          <c:showBubbleSize val="0"/>
        </c:dLbls>
        <c:gapWidth val="79"/>
        <c:shape val="box"/>
        <c:axId val="614607624"/>
        <c:axId val="614608704"/>
        <c:axId val="0"/>
      </c:bar3DChart>
      <c:catAx>
        <c:axId val="614607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14608704"/>
        <c:crosses val="autoZero"/>
        <c:auto val="1"/>
        <c:lblAlgn val="ctr"/>
        <c:lblOffset val="100"/>
        <c:noMultiLvlLbl val="0"/>
      </c:catAx>
      <c:valAx>
        <c:axId val="614608704"/>
        <c:scaling>
          <c:orientation val="minMax"/>
        </c:scaling>
        <c:delete val="1"/>
        <c:axPos val="b"/>
        <c:numFmt formatCode="General" sourceLinked="1"/>
        <c:majorTickMark val="none"/>
        <c:minorTickMark val="none"/>
        <c:tickLblPos val="nextTo"/>
        <c:crossAx val="614607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07.xlsx]PIVOT!PivotTable2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Region-wise Sales Analysis</a:t>
            </a:r>
          </a:p>
        </c:rich>
      </c:tx>
      <c:layout>
        <c:manualLayout>
          <c:xMode val="edge"/>
          <c:yMode val="edge"/>
          <c:x val="0.32990739713873796"/>
          <c:y val="0.1135346587423698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manualLayout>
          <c:layoutTarget val="inner"/>
          <c:xMode val="edge"/>
          <c:yMode val="edge"/>
          <c:x val="5.2777777777777778E-2"/>
          <c:y val="0.23997601293215837"/>
          <c:w val="0.80020384951881018"/>
          <c:h val="0.69821383254245539"/>
        </c:manualLayout>
      </c:layout>
      <c:ofPieChart>
        <c:ofPieType val="pie"/>
        <c:varyColors val="1"/>
        <c:ser>
          <c:idx val="0"/>
          <c:order val="0"/>
          <c:tx>
            <c:strRef>
              <c:f>PIVOT!$H$1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3EE-4B95-84D3-BDCD198370B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3EE-4B95-84D3-BDCD198370B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C3EE-4B95-84D3-BDCD198370B9}"/>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C3EE-4B95-84D3-BDCD198370B9}"/>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C3EE-4B95-84D3-BDCD198370B9}"/>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C3EE-4B95-84D3-BDCD198370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PIVOT!$G$2:$G$7</c:f>
              <c:strCache>
                <c:ptCount val="5"/>
                <c:pt idx="0">
                  <c:v>Central</c:v>
                </c:pt>
                <c:pt idx="1">
                  <c:v>East</c:v>
                </c:pt>
                <c:pt idx="2">
                  <c:v>North</c:v>
                </c:pt>
                <c:pt idx="3">
                  <c:v>South</c:v>
                </c:pt>
                <c:pt idx="4">
                  <c:v>West</c:v>
                </c:pt>
              </c:strCache>
            </c:strRef>
          </c:cat>
          <c:val>
            <c:numRef>
              <c:f>PIVOT!$H$2:$H$7</c:f>
              <c:numCache>
                <c:formatCode>General</c:formatCode>
                <c:ptCount val="5"/>
                <c:pt idx="0">
                  <c:v>116035.5207870544</c:v>
                </c:pt>
                <c:pt idx="1">
                  <c:v>100061.14766041281</c:v>
                </c:pt>
                <c:pt idx="2">
                  <c:v>98364.267228893106</c:v>
                </c:pt>
                <c:pt idx="3">
                  <c:v>168773.85932551601</c:v>
                </c:pt>
                <c:pt idx="4">
                  <c:v>58158.212528142598</c:v>
                </c:pt>
              </c:numCache>
            </c:numRef>
          </c:val>
          <c:extLst>
            <c:ext xmlns:c16="http://schemas.microsoft.com/office/drawing/2014/chart" uri="{C3380CC4-5D6E-409C-BE32-E72D297353CC}">
              <c16:uniqueId val="{0000000C-C3EE-4B95-84D3-BDCD198370B9}"/>
            </c:ext>
          </c:extLst>
        </c:ser>
        <c:dLbls>
          <c:dLblPos val="inEnd"/>
          <c:showLegendKey val="0"/>
          <c:showVal val="0"/>
          <c:showCatName val="1"/>
          <c:showSerName val="0"/>
          <c:showPercent val="1"/>
          <c:showBubbleSize val="0"/>
          <c:showLeaderLines val="1"/>
        </c:dLbls>
        <c:gapWidth val="100"/>
        <c:secondPieSize val="75"/>
        <c:serLines>
          <c:spPr>
            <a:ln w="9525">
              <a:solidFill>
                <a:schemeClr val="accent1">
                  <a:lumMod val="60000"/>
                  <a:lumOff val="40000"/>
                  <a:tint val="50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07.xlsx]PIVOT!PivotTable3</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PIVOT!$D$2:$D$14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PIVOT!$E$2:$E$14</c:f>
              <c:numCache>
                <c:formatCode>General</c:formatCode>
                <c:ptCount val="12"/>
                <c:pt idx="0">
                  <c:v>25814.239999999998</c:v>
                </c:pt>
                <c:pt idx="1">
                  <c:v>69358.374700750486</c:v>
                </c:pt>
                <c:pt idx="2">
                  <c:v>19494.36</c:v>
                </c:pt>
                <c:pt idx="3">
                  <c:v>89354.116797373412</c:v>
                </c:pt>
                <c:pt idx="4">
                  <c:v>33485.300787054402</c:v>
                </c:pt>
                <c:pt idx="5">
                  <c:v>5992.09</c:v>
                </c:pt>
                <c:pt idx="6">
                  <c:v>33583.916873358401</c:v>
                </c:pt>
                <c:pt idx="7">
                  <c:v>40379.57</c:v>
                </c:pt>
                <c:pt idx="8">
                  <c:v>49622.646441838697</c:v>
                </c:pt>
                <c:pt idx="9">
                  <c:v>58660.453315197003</c:v>
                </c:pt>
                <c:pt idx="10">
                  <c:v>63926.35</c:v>
                </c:pt>
                <c:pt idx="11">
                  <c:v>51721.588614446504</c:v>
                </c:pt>
              </c:numCache>
            </c:numRef>
          </c:val>
          <c:smooth val="0"/>
          <c:extLst>
            <c:ext xmlns:c16="http://schemas.microsoft.com/office/drawing/2014/chart" uri="{C3380CC4-5D6E-409C-BE32-E72D297353CC}">
              <c16:uniqueId val="{00000000-330C-4B36-ABAC-F7A715C85AC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8208464"/>
        <c:axId val="358211344"/>
      </c:lineChart>
      <c:catAx>
        <c:axId val="3582084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8211344"/>
        <c:crosses val="autoZero"/>
        <c:auto val="1"/>
        <c:lblAlgn val="ctr"/>
        <c:lblOffset val="100"/>
        <c:noMultiLvlLbl val="0"/>
      </c:catAx>
      <c:valAx>
        <c:axId val="35821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820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533400</xdr:colOff>
      <xdr:row>1</xdr:row>
      <xdr:rowOff>7621</xdr:rowOff>
    </xdr:from>
    <xdr:to>
      <xdr:col>9</xdr:col>
      <xdr:colOff>1577340</xdr:colOff>
      <xdr:row>9</xdr:row>
      <xdr:rowOff>160020</xdr:rowOff>
    </xdr:to>
    <mc:AlternateContent xmlns:mc="http://schemas.openxmlformats.org/markup-compatibility/2006">
      <mc:Choice xmlns:a14="http://schemas.microsoft.com/office/drawing/2010/main" Requires="a14">
        <xdr:graphicFrame macro="">
          <xdr:nvGraphicFramePr>
            <xdr:cNvPr id="2" name="Product Name">
              <a:extLst>
                <a:ext uri="{FF2B5EF4-FFF2-40B4-BE49-F238E27FC236}">
                  <a16:creationId xmlns:a16="http://schemas.microsoft.com/office/drawing/2014/main" id="{72B6BA07-A346-0244-EC89-ECE0B98DA4DD}"/>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9090660" y="190501"/>
              <a:ext cx="1828800" cy="1615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441960</xdr:colOff>
      <xdr:row>0</xdr:row>
      <xdr:rowOff>182879</xdr:rowOff>
    </xdr:from>
    <xdr:to>
      <xdr:col>15</xdr:col>
      <xdr:colOff>60960</xdr:colOff>
      <xdr:row>10</xdr:row>
      <xdr:rowOff>30480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204EEC8-8F04-593C-5D02-862525115C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94920" y="182879"/>
              <a:ext cx="1447800" cy="167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0</xdr:row>
      <xdr:rowOff>175261</xdr:rowOff>
    </xdr:from>
    <xdr:to>
      <xdr:col>12</xdr:col>
      <xdr:colOff>243840</xdr:colOff>
      <xdr:row>10</xdr:row>
      <xdr:rowOff>30481</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1ACA1924-8673-CE68-D5D3-414D56DC74F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033760" y="175261"/>
              <a:ext cx="146304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15</xdr:row>
      <xdr:rowOff>34290</xdr:rowOff>
    </xdr:from>
    <xdr:to>
      <xdr:col>4</xdr:col>
      <xdr:colOff>762000</xdr:colOff>
      <xdr:row>30</xdr:row>
      <xdr:rowOff>34290</xdr:rowOff>
    </xdr:to>
    <xdr:graphicFrame macro="">
      <xdr:nvGraphicFramePr>
        <xdr:cNvPr id="6" name="Chart 5">
          <a:extLst>
            <a:ext uri="{FF2B5EF4-FFF2-40B4-BE49-F238E27FC236}">
              <a16:creationId xmlns:a16="http://schemas.microsoft.com/office/drawing/2014/main" id="{06BCCB50-3DE5-BFFE-F1E3-249814539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944880</xdr:colOff>
      <xdr:row>15</xdr:row>
      <xdr:rowOff>7620</xdr:rowOff>
    </xdr:from>
    <xdr:to>
      <xdr:col>8</xdr:col>
      <xdr:colOff>160020</xdr:colOff>
      <xdr:row>30</xdr:row>
      <xdr:rowOff>140970</xdr:rowOff>
    </xdr:to>
    <xdr:graphicFrame macro="">
      <xdr:nvGraphicFramePr>
        <xdr:cNvPr id="7" name="Chart 6">
          <a:extLst>
            <a:ext uri="{FF2B5EF4-FFF2-40B4-BE49-F238E27FC236}">
              <a16:creationId xmlns:a16="http://schemas.microsoft.com/office/drawing/2014/main" id="{FA351B03-7F14-8A99-8BE6-6862A2C7F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434340</xdr:colOff>
      <xdr:row>15</xdr:row>
      <xdr:rowOff>26670</xdr:rowOff>
    </xdr:from>
    <xdr:to>
      <xdr:col>14</xdr:col>
      <xdr:colOff>91440</xdr:colOff>
      <xdr:row>30</xdr:row>
      <xdr:rowOff>26670</xdr:rowOff>
    </xdr:to>
    <xdr:graphicFrame macro="">
      <xdr:nvGraphicFramePr>
        <xdr:cNvPr id="9" name="Chart 8">
          <a:extLst>
            <a:ext uri="{FF2B5EF4-FFF2-40B4-BE49-F238E27FC236}">
              <a16:creationId xmlns:a16="http://schemas.microsoft.com/office/drawing/2014/main" id="{87A37DD1-411D-D2D3-E38C-48C60E103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2</xdr:row>
      <xdr:rowOff>91440</xdr:rowOff>
    </xdr:from>
    <xdr:to>
      <xdr:col>10</xdr:col>
      <xdr:colOff>220980</xdr:colOff>
      <xdr:row>13</xdr:row>
      <xdr:rowOff>91440</xdr:rowOff>
    </xdr:to>
    <xdr:graphicFrame macro="">
      <xdr:nvGraphicFramePr>
        <xdr:cNvPr id="3" name="Chart 2">
          <a:extLst>
            <a:ext uri="{FF2B5EF4-FFF2-40B4-BE49-F238E27FC236}">
              <a16:creationId xmlns:a16="http://schemas.microsoft.com/office/drawing/2014/main" id="{DADB7507-EF21-48C6-89EB-BB6FE065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373380</xdr:colOff>
      <xdr:row>2</xdr:row>
      <xdr:rowOff>106680</xdr:rowOff>
    </xdr:from>
    <xdr:to>
      <xdr:col>17</xdr:col>
      <xdr:colOff>434340</xdr:colOff>
      <xdr:row>13</xdr:row>
      <xdr:rowOff>83820</xdr:rowOff>
    </xdr:to>
    <xdr:graphicFrame macro="">
      <xdr:nvGraphicFramePr>
        <xdr:cNvPr id="4" name="Chart 3">
          <a:extLst>
            <a:ext uri="{FF2B5EF4-FFF2-40B4-BE49-F238E27FC236}">
              <a16:creationId xmlns:a16="http://schemas.microsoft.com/office/drawing/2014/main" id="{167F9981-18F2-42EF-9D42-99C8FC2FB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182880</xdr:colOff>
      <xdr:row>14</xdr:row>
      <xdr:rowOff>7620</xdr:rowOff>
    </xdr:from>
    <xdr:to>
      <xdr:col>10</xdr:col>
      <xdr:colOff>274320</xdr:colOff>
      <xdr:row>22</xdr:row>
      <xdr:rowOff>45720</xdr:rowOff>
    </xdr:to>
    <xdr:graphicFrame macro="">
      <xdr:nvGraphicFramePr>
        <xdr:cNvPr id="5" name="Chart 4">
          <a:extLst>
            <a:ext uri="{FF2B5EF4-FFF2-40B4-BE49-F238E27FC236}">
              <a16:creationId xmlns:a16="http://schemas.microsoft.com/office/drawing/2014/main" id="{7067F6C1-C484-4AA3-89FB-173AFEE9E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373380</xdr:colOff>
      <xdr:row>14</xdr:row>
      <xdr:rowOff>22860</xdr:rowOff>
    </xdr:from>
    <xdr:to>
      <xdr:col>17</xdr:col>
      <xdr:colOff>396240</xdr:colOff>
      <xdr:row>22</xdr:row>
      <xdr:rowOff>15240</xdr:rowOff>
    </xdr:to>
    <xdr:sp macro="" textlink="">
      <xdr:nvSpPr>
        <xdr:cNvPr id="6" name="Rectangle 5">
          <a:extLst>
            <a:ext uri="{FF2B5EF4-FFF2-40B4-BE49-F238E27FC236}">
              <a16:creationId xmlns:a16="http://schemas.microsoft.com/office/drawing/2014/main" id="{146262E1-CA9B-1830-3DB1-7DDE59B596C2}"/>
            </a:ext>
          </a:extLst>
        </xdr:cNvPr>
        <xdr:cNvSpPr/>
      </xdr:nvSpPr>
      <xdr:spPr>
        <a:xfrm>
          <a:off x="7360920" y="2598420"/>
          <a:ext cx="4290060" cy="14554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10</xdr:col>
      <xdr:colOff>403860</xdr:colOff>
      <xdr:row>14</xdr:row>
      <xdr:rowOff>60961</xdr:rowOff>
    </xdr:from>
    <xdr:to>
      <xdr:col>12</xdr:col>
      <xdr:colOff>563880</xdr:colOff>
      <xdr:row>21</xdr:row>
      <xdr:rowOff>152400</xdr:rowOff>
    </xdr:to>
    <mc:AlternateContent xmlns:mc="http://schemas.openxmlformats.org/markup-compatibility/2006">
      <mc:Choice xmlns:a14="http://schemas.microsoft.com/office/drawing/2010/main" Requires="a14">
        <xdr:graphicFrame macro="">
          <xdr:nvGraphicFramePr>
            <xdr:cNvPr id="7" name="Product Name 1">
              <a:extLst>
                <a:ext uri="{FF2B5EF4-FFF2-40B4-BE49-F238E27FC236}">
                  <a16:creationId xmlns:a16="http://schemas.microsoft.com/office/drawing/2014/main" id="{1DB52605-80C2-46A2-A125-E9A05ED7F41B}"/>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7388860" y="2628175"/>
              <a:ext cx="1375591" cy="1370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14</xdr:row>
      <xdr:rowOff>76200</xdr:rowOff>
    </xdr:from>
    <xdr:to>
      <xdr:col>15</xdr:col>
      <xdr:colOff>289560</xdr:colOff>
      <xdr:row>21</xdr:row>
      <xdr:rowOff>167640</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15BFE1CA-9160-4540-9915-C2F0940346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8831217" y="2643414"/>
              <a:ext cx="1482272" cy="1370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365760</xdr:colOff>
      <xdr:row>14</xdr:row>
      <xdr:rowOff>83820</xdr:rowOff>
    </xdr:from>
    <xdr:to>
      <xdr:col>17</xdr:col>
      <xdr:colOff>327660</xdr:colOff>
      <xdr:row>21</xdr:row>
      <xdr:rowOff>129540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70FA835B-44BA-4896-BB0D-8AE3921886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389689" y="2651034"/>
              <a:ext cx="1177471" cy="1324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1.040562499998" createdVersion="8" refreshedVersion="8" minRefreshableVersion="3" recordCount="49" xr:uid="{988D7F77-DAC0-4CFD-902A-4981462A2C1E}">
  <cacheSource type="worksheet">
    <worksheetSource name="Table1"/>
  </cacheSource>
  <cacheFields count="6">
    <cacheField name="Order ID" numFmtId="0">
      <sharedItems/>
    </cacheField>
    <cacheField name="Product Name" numFmtId="0">
      <sharedItems count="10">
        <s v="Smart TV"/>
        <s v="Keyboard"/>
        <s v="Headphones"/>
        <s v="Laptop"/>
        <s v="Camera"/>
        <s v="Monitor"/>
        <s v="Printer"/>
        <s v="Smartphone"/>
        <s v="Tablet"/>
        <s v="Speaker"/>
      </sharedItems>
    </cacheField>
    <cacheField name="Region" numFmtId="0">
      <sharedItems count="5">
        <s v="South"/>
        <s v="North"/>
        <s v="West"/>
        <s v="East"/>
        <s v="Central"/>
      </sharedItems>
    </cacheField>
    <cacheField name="Month" numFmtId="0">
      <sharedItems count="12">
        <s v="April"/>
        <s v="October"/>
        <s v="September"/>
        <s v="December"/>
        <s v="February"/>
        <s v="May"/>
        <s v="July"/>
        <s v="August"/>
        <s v="November"/>
        <s v="January"/>
        <s v="June"/>
        <s v="March"/>
      </sharedItems>
    </cacheField>
    <cacheField name="Sales Amount (USD)" numFmtId="0">
      <sharedItems containsSemiMixedTypes="0" containsString="0" containsNumber="1" minValue="1136.6300000000001" maxValue="18652.87"/>
    </cacheField>
    <cacheField name="Profit Amount (USD)" numFmtId="0">
      <sharedItems containsSemiMixedTypes="0" containsString="0" containsNumber="1" minValue="371.63" maxValue="6895.6"/>
    </cacheField>
  </cacheFields>
  <extLst>
    <ext xmlns:x14="http://schemas.microsoft.com/office/spreadsheetml/2009/9/main" uri="{725AE2AE-9491-48be-B2B4-4EB974FC3084}">
      <x14:pivotCacheDefinition pivotCacheId="134961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ORD-1001"/>
    <x v="0"/>
    <x v="0"/>
    <x v="0"/>
    <n v="13149.11"/>
    <n v="2054.58"/>
  </r>
  <r>
    <s v="ORD-1002"/>
    <x v="1"/>
    <x v="1"/>
    <x v="1"/>
    <n v="3651.22"/>
    <n v="641.24"/>
  </r>
  <r>
    <s v="ORD-1003"/>
    <x v="2"/>
    <x v="0"/>
    <x v="2"/>
    <n v="9016.51"/>
    <n v="1419.64"/>
  </r>
  <r>
    <s v="ORD-1004"/>
    <x v="1"/>
    <x v="2"/>
    <x v="0"/>
    <n v="12438.36"/>
    <n v="3611"/>
  </r>
  <r>
    <s v="ORD-1005"/>
    <x v="3"/>
    <x v="0"/>
    <x v="3"/>
    <n v="9534.9699999999993"/>
    <n v="2093.38"/>
  </r>
  <r>
    <s v="ORD-1006"/>
    <x v="2"/>
    <x v="3"/>
    <x v="4"/>
    <n v="9029.67"/>
    <n v="1981.72"/>
  </r>
  <r>
    <s v="ORD-1007"/>
    <x v="4"/>
    <x v="4"/>
    <x v="5"/>
    <n v="2762.17"/>
    <n v="481.11"/>
  </r>
  <r>
    <s v="ORD-1008"/>
    <x v="1"/>
    <x v="1"/>
    <x v="6"/>
    <n v="16335.44"/>
    <n v="5430.44"/>
  </r>
  <r>
    <s v="ORD-1009"/>
    <x v="5"/>
    <x v="3"/>
    <x v="1"/>
    <n v="2497.1999999999998"/>
    <n v="557.61"/>
  </r>
  <r>
    <s v="ORD-1010"/>
    <x v="2"/>
    <x v="3"/>
    <x v="4"/>
    <n v="4653.4799999999996"/>
    <n v="778.94"/>
  </r>
  <r>
    <s v="ORD-1011"/>
    <x v="6"/>
    <x v="3"/>
    <x v="7"/>
    <n v="17251.04"/>
    <n v="6324.59"/>
  </r>
  <r>
    <s v="ORD-1012"/>
    <x v="4"/>
    <x v="3"/>
    <x v="0"/>
    <n v="13078"/>
    <n v="3154.52"/>
  </r>
  <r>
    <s v="ORD-1013"/>
    <x v="7"/>
    <x v="4"/>
    <x v="8"/>
    <n v="13733.33"/>
    <n v="4469.58"/>
  </r>
  <r>
    <s v="ORD-1014"/>
    <x v="8"/>
    <x v="2"/>
    <x v="6"/>
    <n v="4251.63"/>
    <n v="1412.74"/>
  </r>
  <r>
    <s v="ORD-1015"/>
    <x v="1"/>
    <x v="0"/>
    <x v="8"/>
    <n v="6129.01"/>
    <n v="2337.2800000000002"/>
  </r>
  <r>
    <s v="ORD-1016"/>
    <x v="3"/>
    <x v="0"/>
    <x v="9"/>
    <n v="7161.37"/>
    <n v="2449.75"/>
  </r>
  <r>
    <s v="ORD-1017"/>
    <x v="7"/>
    <x v="0"/>
    <x v="1"/>
    <n v="16295.87"/>
    <n v="4078.71"/>
  </r>
  <r>
    <s v="ORD-1018"/>
    <x v="9"/>
    <x v="2"/>
    <x v="8"/>
    <n v="17650.98"/>
    <n v="4036.24"/>
  </r>
  <r>
    <s v="ORD-1019"/>
    <x v="2"/>
    <x v="4"/>
    <x v="2"/>
    <n v="9718.19"/>
    <n v="2101.27"/>
  </r>
  <r>
    <s v="ORD-1020"/>
    <x v="5"/>
    <x v="2"/>
    <x v="10"/>
    <n v="5992.09"/>
    <n v="1774.54"/>
  </r>
  <r>
    <s v="ORD-1021"/>
    <x v="1"/>
    <x v="2"/>
    <x v="4"/>
    <n v="5167.09"/>
    <n v="2063.66"/>
  </r>
  <r>
    <s v="ORD-1022"/>
    <x v="8"/>
    <x v="0"/>
    <x v="8"/>
    <n v="15359.86"/>
    <n v="5610.58"/>
  </r>
  <r>
    <s v="ORD-1023"/>
    <x v="6"/>
    <x v="4"/>
    <x v="7"/>
    <n v="9021.0400000000009"/>
    <n v="1496.43"/>
  </r>
  <r>
    <s v="ORD-1024"/>
    <x v="3"/>
    <x v="1"/>
    <x v="8"/>
    <n v="11053.17"/>
    <n v="4341.3500000000004"/>
  </r>
  <r>
    <s v="ORD-1025"/>
    <x v="4"/>
    <x v="1"/>
    <x v="5"/>
    <n v="17810.98"/>
    <n v="6015.11"/>
  </r>
  <r>
    <s v="ORD-1026"/>
    <x v="0"/>
    <x v="4"/>
    <x v="11"/>
    <n v="9260.5400000000009"/>
    <n v="2439.5100000000002"/>
  </r>
  <r>
    <s v="ORD-1027"/>
    <x v="0"/>
    <x v="4"/>
    <x v="1"/>
    <n v="10645.95"/>
    <n v="1880.1"/>
  </r>
  <r>
    <s v="ORD-1028"/>
    <x v="8"/>
    <x v="4"/>
    <x v="2"/>
    <n v="4779.3100000000004"/>
    <n v="1163.6600000000001"/>
  </r>
  <r>
    <s v="ORD-1029"/>
    <x v="9"/>
    <x v="1"/>
    <x v="4"/>
    <n v="18451.38"/>
    <n v="5530.55"/>
  </r>
  <r>
    <s v="ORD-1030"/>
    <x v="0"/>
    <x v="0"/>
    <x v="9"/>
    <n v="18652.87"/>
    <n v="6895.6"/>
  </r>
  <r>
    <s v="ORD-1031"/>
    <x v="7"/>
    <x v="1"/>
    <x v="3"/>
    <n v="5576.56"/>
    <n v="1627.46"/>
  </r>
  <r>
    <s v="ORD-1032"/>
    <x v="1"/>
    <x v="0"/>
    <x v="11"/>
    <n v="10233.82"/>
    <n v="1712.15"/>
  </r>
  <r>
    <s v="ORD-1033"/>
    <x v="8"/>
    <x v="3"/>
    <x v="2"/>
    <n v="13535.27"/>
    <n v="5234.25"/>
  </r>
  <r>
    <s v="ORD-1034"/>
    <x v="2"/>
    <x v="4"/>
    <x v="3"/>
    <n v="17576.23"/>
    <n v="4495.7299999999996"/>
  </r>
  <r>
    <s v="ORD-1035"/>
    <x v="6"/>
    <x v="3"/>
    <x v="7"/>
    <n v="14107.49"/>
    <n v="4630.6000000000004"/>
  </r>
  <r>
    <s v="ORD-1036"/>
    <x v="2"/>
    <x v="0"/>
    <x v="4"/>
    <n v="18092.669999999998"/>
    <n v="4756.05"/>
  </r>
  <r>
    <s v="ORD-1037"/>
    <x v="2"/>
    <x v="4"/>
    <x v="0"/>
    <n v="7423.63"/>
    <n v="2205.39"/>
  </r>
  <r>
    <s v="ORD-1038"/>
    <x v="3"/>
    <x v="0"/>
    <x v="4"/>
    <n v="1136.6300000000001"/>
    <n v="371.63"/>
  </r>
  <r>
    <s v="ORD-1039"/>
    <x v="7"/>
    <x v="4"/>
    <x v="0"/>
    <n v="18202.98"/>
    <n v="6642.43"/>
  </r>
  <r>
    <s v="ORD-1040"/>
    <x v="1"/>
    <x v="0"/>
    <x v="3"/>
    <n v="6291.07"/>
    <n v="1707.1"/>
  </r>
  <r>
    <s v="ORD-1041"/>
    <x v="0"/>
    <x v="0"/>
    <x v="0"/>
    <n v="12403.974269230799"/>
    <n v="3960.8752692307698"/>
  </r>
  <r>
    <s v="ORD-1042"/>
    <x v="1"/>
    <x v="1"/>
    <x v="1"/>
    <n v="12488.670355534699"/>
    <n v="4005.2981848029999"/>
  </r>
  <r>
    <s v="ORD-1043"/>
    <x v="2"/>
    <x v="0"/>
    <x v="2"/>
    <n v="12573.3664418387"/>
    <n v="4049.72110037523"/>
  </r>
  <r>
    <s v="ORD-1044"/>
    <x v="1"/>
    <x v="2"/>
    <x v="0"/>
    <n v="12658.0625281426"/>
    <n v="4094.14401594746"/>
  </r>
  <r>
    <s v="ORD-1045"/>
    <x v="3"/>
    <x v="0"/>
    <x v="3"/>
    <n v="12742.7586144465"/>
    <n v="4138.5669315197001"/>
  </r>
  <r>
    <s v="ORD-1046"/>
    <x v="2"/>
    <x v="3"/>
    <x v="4"/>
    <n v="12827.454700750501"/>
    <n v="4182.9898470919297"/>
  </r>
  <r>
    <s v="ORD-1047"/>
    <x v="4"/>
    <x v="4"/>
    <x v="5"/>
    <n v="12912.150787054399"/>
    <n v="4227.4127626641603"/>
  </r>
  <r>
    <s v="ORD-1048"/>
    <x v="1"/>
    <x v="1"/>
    <x v="6"/>
    <n v="12996.8468733584"/>
    <n v="4271.8356782363899"/>
  </r>
  <r>
    <s v="ORD-1049"/>
    <x v="5"/>
    <x v="3"/>
    <x v="1"/>
    <n v="13081.5429596623"/>
    <n v="4316.25859380863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99133-6C76-4121-895D-A8BA8946DD3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D1:E14" firstHeaderRow="1" firstDataRow="1" firstDataCol="1"/>
  <pivotFields count="6">
    <pivotField showAll="0"/>
    <pivotField showAll="0">
      <items count="11">
        <item x="4"/>
        <item x="2"/>
        <item x="1"/>
        <item x="3"/>
        <item x="5"/>
        <item x="6"/>
        <item x="0"/>
        <item x="7"/>
        <item x="9"/>
        <item x="8"/>
        <item t="default"/>
      </items>
    </pivotField>
    <pivotField showAll="0"/>
    <pivotField axis="axisRow" showAll="0">
      <items count="13">
        <item x="9"/>
        <item x="4"/>
        <item x="11"/>
        <item x="0"/>
        <item x="5"/>
        <item x="10"/>
        <item x="6"/>
        <item x="7"/>
        <item x="2"/>
        <item x="1"/>
        <item x="8"/>
        <item x="3"/>
        <item t="default"/>
      </items>
    </pivotField>
    <pivotField dataField="1"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Amount (USD)" fld="4"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705C65-EFAF-40AA-86DF-E053CAA6E73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G1:H7" firstHeaderRow="1" firstDataRow="1" firstDataCol="1"/>
  <pivotFields count="6">
    <pivotField showAll="0"/>
    <pivotField showAll="0">
      <items count="11">
        <item x="4"/>
        <item x="2"/>
        <item x="1"/>
        <item x="3"/>
        <item x="5"/>
        <item x="6"/>
        <item x="0"/>
        <item x="7"/>
        <item x="9"/>
        <item x="8"/>
        <item t="default"/>
      </items>
    </pivotField>
    <pivotField axis="axisRow" showAll="0">
      <items count="6">
        <item x="4"/>
        <item x="3"/>
        <item x="1"/>
        <item x="0"/>
        <item x="2"/>
        <item t="default"/>
      </items>
    </pivotField>
    <pivotField showAll="0"/>
    <pivotField dataField="1" showAll="0"/>
    <pivotField showAll="0"/>
  </pivotFields>
  <rowFields count="1">
    <field x="2"/>
  </rowFields>
  <rowItems count="6">
    <i>
      <x/>
    </i>
    <i>
      <x v="1"/>
    </i>
    <i>
      <x v="2"/>
    </i>
    <i>
      <x v="3"/>
    </i>
    <i>
      <x v="4"/>
    </i>
    <i t="grand">
      <x/>
    </i>
  </rowItems>
  <colItems count="1">
    <i/>
  </colItems>
  <dataFields count="1">
    <dataField name="Sum of Sales Amount (USD)" fld="4"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1CC288-E183-4136-B95D-7F3BFEB22BA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rowHeaderCaption="PRODUCT">
  <location ref="A1:B12" firstHeaderRow="1" firstDataRow="1" firstDataCol="1"/>
  <pivotFields count="6">
    <pivotField showAll="0"/>
    <pivotField axis="axisRow" showAll="0" sortType="descending">
      <items count="11">
        <item x="8"/>
        <item x="9"/>
        <item x="7"/>
        <item x="0"/>
        <item x="6"/>
        <item x="5"/>
        <item x="3"/>
        <item x="1"/>
        <item x="2"/>
        <item x="4"/>
        <item t="default"/>
      </items>
    </pivotField>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Sales Amount (USD)" fld="4" baseField="0" baseItem="0"/>
  </dataFields>
  <chartFormats count="2">
    <chartFormat chart="32"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C1F40BC-34EA-4EDD-84CC-E891C00423E9}" sourceName="Product Name">
  <pivotTables>
    <pivotTable tabId="2" name="PivotTable1"/>
  </pivotTables>
  <data>
    <tabular pivotCacheId="134961445">
      <items count="10">
        <i x="4" s="1"/>
        <i x="2" s="1"/>
        <i x="1" s="1"/>
        <i x="3" s="1"/>
        <i x="5" s="1"/>
        <i x="6" s="1"/>
        <i x="0" s="1"/>
        <i x="7"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2F2C9C-601B-4731-99E1-F48DAC0FB589}" sourceName="Region">
  <pivotTables>
    <pivotTable tabId="2" name="PivotTable2"/>
  </pivotTables>
  <data>
    <tabular pivotCacheId="134961445">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F81FF49-1EED-4AB4-9765-1799B848DCF0}" sourceName="Month">
  <pivotTables>
    <pivotTable tabId="2" name="PivotTable3"/>
  </pivotTables>
  <data>
    <tabular pivotCacheId="134961445">
      <items count="12">
        <i x="9" s="1"/>
        <i x="4" s="1"/>
        <i x="11" s="1"/>
        <i x="0" s="1"/>
        <i x="5" s="1"/>
        <i x="10" s="1"/>
        <i x="6" s="1"/>
        <i x="7" s="1"/>
        <i x="2" s="1"/>
        <i x="1"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265D3BFD-ECED-414B-B8E7-401F54406EF2}" cache="Slicer_Product_Name" caption="Product Name" rowHeight="234950"/>
  <slicer name="Region" xr10:uid="{9A4BC774-0603-43E2-8564-EDC71AD263EB}" cache="Slicer_Region" caption="Region" rowHeight="234950"/>
  <slicer name="Month" xr10:uid="{C580A9FE-CF1B-4B89-826F-2657BC514E8D}"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2B166F8C-D404-424B-9635-9ED3B54CDA1C}" cache="Slicer_Product_Name" caption="Product Name" rowHeight="234950"/>
  <slicer name="Region 1" xr10:uid="{D8ABDE3E-8AB0-49BF-B402-69610FC9A1C7}" cache="Slicer_Region" caption="Region" rowHeight="234950"/>
  <slicer name="Month 1" xr10:uid="{1705E822-2BEA-4623-A3BF-4209BE2B2E16}"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7A1F8A-1F98-493D-869F-F3C60675B18B}" name="Table1" displayName="Table1" ref="A1:F50" headerRowDxfId="6" dataDxfId="7" headerRowBorderDxfId="15" tableBorderDxfId="16" totalsRowBorderDxfId="14">
  <autoFilter ref="A1:F50" xr:uid="{6B7A1F8A-1F98-493D-869F-F3C60675B18B}"/>
  <tableColumns count="6">
    <tableColumn id="1" xr3:uid="{59BADDB0-B981-421E-BB4F-837A6673FA01}" name="Order ID" totalsRowLabel="Total" dataDxfId="13" totalsRowDxfId="0"/>
    <tableColumn id="2" xr3:uid="{4B4A9172-2AC5-4076-8494-F1CD91AAC80D}" name="Product Name" dataDxfId="12" totalsRowDxfId="1"/>
    <tableColumn id="3" xr3:uid="{4A21AD57-18C1-4F6A-99A9-429714AE1F07}" name="Region" dataDxfId="11" totalsRowDxfId="2"/>
    <tableColumn id="4" xr3:uid="{64EC1581-0AA7-4A42-8115-45574084629F}" name="Month" dataDxfId="10" totalsRowDxfId="3"/>
    <tableColumn id="5" xr3:uid="{B537ADAB-8A71-43D4-ACFE-E913E0257549}" name="Sales Amount (USD)" dataDxfId="9" totalsRowDxfId="4"/>
    <tableColumn id="6" xr3:uid="{4686C286-F284-4B01-8182-23592AEC62D8}" name="Profit Amount (USD)" totalsRowFunction="sum" dataDxfId="8" totalsRowDxfId="5"/>
  </tableColumns>
  <tableStyleInfo name="TableStyleDark10"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38F10-78D4-45CE-B2B1-1A60836FB8D0}">
  <dimension ref="A1:H14"/>
  <sheetViews>
    <sheetView tabSelected="1" workbookViewId="0">
      <selection activeCell="B3" sqref="B3"/>
    </sheetView>
  </sheetViews>
  <sheetFormatPr defaultRowHeight="14.4" x14ac:dyDescent="0.3"/>
  <cols>
    <col min="1" max="1" width="11.44140625" bestFit="1" customWidth="1"/>
    <col min="2" max="2" width="24.6640625" bestFit="1" customWidth="1"/>
    <col min="4" max="4" width="10.77734375" bestFit="1" customWidth="1"/>
    <col min="5" max="5" width="24.6640625" bestFit="1" customWidth="1"/>
    <col min="7" max="7" width="10.77734375" bestFit="1" customWidth="1"/>
    <col min="8" max="8" width="24.6640625" bestFit="1" customWidth="1"/>
    <col min="9" max="9" width="11.44140625" bestFit="1" customWidth="1"/>
    <col min="10" max="10" width="24.6640625" bestFit="1" customWidth="1"/>
  </cols>
  <sheetData>
    <row r="1" spans="1:8" x14ac:dyDescent="0.3">
      <c r="A1" s="10" t="s">
        <v>84</v>
      </c>
      <c r="B1" t="s">
        <v>83</v>
      </c>
      <c r="D1" s="10" t="s">
        <v>85</v>
      </c>
      <c r="E1" t="s">
        <v>83</v>
      </c>
      <c r="G1" s="10" t="s">
        <v>86</v>
      </c>
      <c r="H1" t="s">
        <v>83</v>
      </c>
    </row>
    <row r="2" spans="1:8" x14ac:dyDescent="0.3">
      <c r="A2" s="11" t="s">
        <v>42</v>
      </c>
      <c r="B2" s="12">
        <v>37926.070000000007</v>
      </c>
      <c r="D2" s="11" t="s">
        <v>45</v>
      </c>
      <c r="E2" s="12">
        <v>25814.239999999998</v>
      </c>
      <c r="G2" s="11" t="s">
        <v>27</v>
      </c>
      <c r="H2" s="12">
        <v>116035.5207870544</v>
      </c>
    </row>
    <row r="3" spans="1:8" x14ac:dyDescent="0.3">
      <c r="A3" s="11" t="s">
        <v>48</v>
      </c>
      <c r="B3" s="12">
        <v>36102.36</v>
      </c>
      <c r="D3" s="11" t="s">
        <v>24</v>
      </c>
      <c r="E3" s="12">
        <v>69358.374700750486</v>
      </c>
      <c r="G3" s="11" t="s">
        <v>23</v>
      </c>
      <c r="H3" s="12">
        <v>100061.14766041281</v>
      </c>
    </row>
    <row r="4" spans="1:8" x14ac:dyDescent="0.3">
      <c r="A4" s="11" t="s">
        <v>39</v>
      </c>
      <c r="B4" s="12">
        <v>53808.740000000005</v>
      </c>
      <c r="D4" s="11" t="s">
        <v>58</v>
      </c>
      <c r="E4" s="12">
        <v>19494.36</v>
      </c>
      <c r="G4" s="11" t="s">
        <v>12</v>
      </c>
      <c r="H4" s="12">
        <v>98364.267228893106</v>
      </c>
    </row>
    <row r="5" spans="1:8" x14ac:dyDescent="0.3">
      <c r="A5" s="11" t="s">
        <v>7</v>
      </c>
      <c r="B5" s="12">
        <v>64112.4442692308</v>
      </c>
      <c r="D5" s="11" t="s">
        <v>9</v>
      </c>
      <c r="E5" s="12">
        <v>89354.116797373412</v>
      </c>
      <c r="G5" s="11" t="s">
        <v>8</v>
      </c>
      <c r="H5" s="12">
        <v>168773.85932551601</v>
      </c>
    </row>
    <row r="6" spans="1:8" x14ac:dyDescent="0.3">
      <c r="A6" s="11" t="s">
        <v>35</v>
      </c>
      <c r="B6" s="12">
        <v>40379.57</v>
      </c>
      <c r="D6" s="11" t="s">
        <v>28</v>
      </c>
      <c r="E6" s="12">
        <v>33485.300787054402</v>
      </c>
      <c r="G6" s="11" t="s">
        <v>18</v>
      </c>
      <c r="H6" s="12">
        <v>58158.212528142598</v>
      </c>
    </row>
    <row r="7" spans="1:8" x14ac:dyDescent="0.3">
      <c r="A7" s="11" t="s">
        <v>32</v>
      </c>
      <c r="B7" s="12">
        <v>21570.832959662301</v>
      </c>
      <c r="D7" s="11" t="s">
        <v>51</v>
      </c>
      <c r="E7" s="12">
        <v>5992.09</v>
      </c>
      <c r="G7" s="11" t="s">
        <v>82</v>
      </c>
      <c r="H7" s="12">
        <v>541393.00753001892</v>
      </c>
    </row>
    <row r="8" spans="1:8" x14ac:dyDescent="0.3">
      <c r="A8" s="11" t="s">
        <v>20</v>
      </c>
      <c r="B8" s="12">
        <v>41628.898614446502</v>
      </c>
      <c r="D8" s="11" t="s">
        <v>30</v>
      </c>
      <c r="E8" s="12">
        <v>33583.916873358401</v>
      </c>
    </row>
    <row r="9" spans="1:8" x14ac:dyDescent="0.3">
      <c r="A9" s="11" t="s">
        <v>11</v>
      </c>
      <c r="B9" s="12">
        <v>98389.589757035705</v>
      </c>
      <c r="D9" s="11" t="s">
        <v>36</v>
      </c>
      <c r="E9" s="12">
        <v>40379.57</v>
      </c>
    </row>
    <row r="10" spans="1:8" x14ac:dyDescent="0.3">
      <c r="A10" s="11" t="s">
        <v>15</v>
      </c>
      <c r="B10" s="12">
        <v>100911.20114258921</v>
      </c>
      <c r="D10" s="11" t="s">
        <v>16</v>
      </c>
      <c r="E10" s="12">
        <v>49622.646441838697</v>
      </c>
    </row>
    <row r="11" spans="1:8" x14ac:dyDescent="0.3">
      <c r="A11" s="11" t="s">
        <v>26</v>
      </c>
      <c r="B11" s="12">
        <v>46563.300787054402</v>
      </c>
      <c r="D11" s="11" t="s">
        <v>13</v>
      </c>
      <c r="E11" s="12">
        <v>58660.453315197003</v>
      </c>
    </row>
    <row r="12" spans="1:8" x14ac:dyDescent="0.3">
      <c r="A12" s="11" t="s">
        <v>82</v>
      </c>
      <c r="B12" s="12">
        <v>541393.00753001892</v>
      </c>
      <c r="D12" s="11" t="s">
        <v>40</v>
      </c>
      <c r="E12" s="12">
        <v>63926.35</v>
      </c>
    </row>
    <row r="13" spans="1:8" x14ac:dyDescent="0.3">
      <c r="D13" s="11" t="s">
        <v>21</v>
      </c>
      <c r="E13" s="12">
        <v>51721.588614446504</v>
      </c>
    </row>
    <row r="14" spans="1:8" x14ac:dyDescent="0.3">
      <c r="D14" s="11" t="s">
        <v>82</v>
      </c>
      <c r="E14" s="12">
        <v>541393.00753001892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81D1-1BD0-4974-BDD7-9B2498FD2FB8}">
  <dimension ref="A1:V136"/>
  <sheetViews>
    <sheetView zoomScale="84" workbookViewId="0">
      <selection activeCell="G27" sqref="G27"/>
    </sheetView>
  </sheetViews>
  <sheetFormatPr defaultRowHeight="14.4" x14ac:dyDescent="0.3"/>
  <cols>
    <col min="4" max="4" width="10.44140625" customWidth="1"/>
    <col min="5" max="6" width="11.44140625" customWidth="1"/>
    <col min="7" max="7" width="15.21875" customWidth="1"/>
  </cols>
  <sheetData>
    <row r="1" spans="1:22" ht="15" thickTop="1" x14ac:dyDescent="0.3">
      <c r="A1" s="13" t="s">
        <v>87</v>
      </c>
      <c r="B1" s="14"/>
      <c r="C1" s="14"/>
      <c r="D1" s="14"/>
      <c r="E1" s="14"/>
      <c r="F1" s="14"/>
      <c r="G1" s="14"/>
      <c r="H1" s="14"/>
      <c r="I1" s="14"/>
      <c r="J1" s="14"/>
      <c r="K1" s="14"/>
      <c r="L1" s="14"/>
      <c r="M1" s="14"/>
      <c r="N1" s="14"/>
      <c r="O1" s="14"/>
      <c r="P1" s="14"/>
      <c r="Q1" s="14"/>
      <c r="R1" s="15"/>
      <c r="S1" s="21" t="s">
        <v>91</v>
      </c>
      <c r="T1" s="20"/>
      <c r="U1" s="20"/>
      <c r="V1" s="20"/>
    </row>
    <row r="2" spans="1:22" ht="15" thickBot="1" x14ac:dyDescent="0.35">
      <c r="A2" s="16"/>
      <c r="B2" s="17"/>
      <c r="C2" s="17"/>
      <c r="D2" s="17"/>
      <c r="E2" s="17"/>
      <c r="F2" s="17"/>
      <c r="G2" s="17"/>
      <c r="H2" s="17"/>
      <c r="I2" s="17"/>
      <c r="J2" s="17"/>
      <c r="K2" s="17"/>
      <c r="L2" s="17"/>
      <c r="M2" s="17"/>
      <c r="N2" s="17"/>
      <c r="O2" s="17"/>
      <c r="P2" s="17"/>
      <c r="Q2" s="17"/>
      <c r="R2" s="18"/>
      <c r="S2" s="22"/>
      <c r="T2" s="23"/>
      <c r="U2" s="23"/>
      <c r="V2" s="23"/>
    </row>
    <row r="3" spans="1:22" ht="14.55" customHeight="1" thickTop="1" x14ac:dyDescent="0.3">
      <c r="A3" s="63" t="s">
        <v>88</v>
      </c>
      <c r="B3" s="64"/>
      <c r="C3" s="64"/>
      <c r="D3" s="65"/>
      <c r="E3" s="44"/>
      <c r="F3" s="45"/>
      <c r="G3" s="45"/>
      <c r="H3" s="45"/>
      <c r="I3" s="45"/>
      <c r="J3" s="45"/>
      <c r="K3" s="45"/>
      <c r="L3" s="45"/>
      <c r="M3" s="45"/>
      <c r="N3" s="45"/>
      <c r="O3" s="45"/>
      <c r="P3" s="45"/>
      <c r="Q3" s="45"/>
      <c r="R3" s="46"/>
      <c r="S3" s="31" t="s">
        <v>92</v>
      </c>
      <c r="T3" s="31"/>
      <c r="U3" s="31"/>
      <c r="V3" s="32"/>
    </row>
    <row r="4" spans="1:22" ht="14.55" customHeight="1" x14ac:dyDescent="0.3">
      <c r="A4" s="66"/>
      <c r="B4" s="41"/>
      <c r="C4" s="41"/>
      <c r="D4" s="67"/>
      <c r="E4" s="47"/>
      <c r="F4" s="48"/>
      <c r="G4" s="48"/>
      <c r="H4" s="48"/>
      <c r="I4" s="48"/>
      <c r="J4" s="48"/>
      <c r="K4" s="48"/>
      <c r="L4" s="48"/>
      <c r="M4" s="48"/>
      <c r="N4" s="48"/>
      <c r="O4" s="48"/>
      <c r="P4" s="48"/>
      <c r="Q4" s="48"/>
      <c r="R4" s="49"/>
      <c r="S4" s="33"/>
      <c r="T4" s="33"/>
      <c r="U4" s="33"/>
      <c r="V4" s="34"/>
    </row>
    <row r="5" spans="1:22" ht="14.55" customHeight="1" x14ac:dyDescent="0.3">
      <c r="A5" s="66"/>
      <c r="B5" s="41"/>
      <c r="C5" s="41"/>
      <c r="D5" s="67"/>
      <c r="E5" s="47"/>
      <c r="F5" s="48"/>
      <c r="G5" s="48"/>
      <c r="H5" s="48"/>
      <c r="I5" s="48"/>
      <c r="J5" s="48"/>
      <c r="K5" s="48"/>
      <c r="L5" s="48"/>
      <c r="M5" s="48"/>
      <c r="N5" s="48"/>
      <c r="O5" s="48"/>
      <c r="P5" s="48"/>
      <c r="Q5" s="48"/>
      <c r="R5" s="49"/>
      <c r="S5" s="33"/>
      <c r="T5" s="33"/>
      <c r="U5" s="33"/>
      <c r="V5" s="34"/>
    </row>
    <row r="6" spans="1:22" ht="14.55" customHeight="1" x14ac:dyDescent="0.3">
      <c r="A6" s="66"/>
      <c r="B6" s="41"/>
      <c r="C6" s="41"/>
      <c r="D6" s="67"/>
      <c r="E6" s="47"/>
      <c r="F6" s="48"/>
      <c r="G6" s="48"/>
      <c r="H6" s="48"/>
      <c r="I6" s="48"/>
      <c r="J6" s="48"/>
      <c r="K6" s="48"/>
      <c r="L6" s="48"/>
      <c r="M6" s="48"/>
      <c r="N6" s="48"/>
      <c r="O6" s="48"/>
      <c r="P6" s="48"/>
      <c r="Q6" s="48"/>
      <c r="R6" s="49"/>
      <c r="S6" s="33"/>
      <c r="T6" s="33"/>
      <c r="U6" s="33"/>
      <c r="V6" s="34"/>
    </row>
    <row r="7" spans="1:22" ht="14.55" customHeight="1" x14ac:dyDescent="0.3">
      <c r="A7" s="68">
        <f>SUM('Sales Data'!$E$2:$E$51)</f>
        <v>541393.0075300188</v>
      </c>
      <c r="B7" s="39"/>
      <c r="C7" s="39"/>
      <c r="D7" s="69"/>
      <c r="E7" s="47"/>
      <c r="F7" s="48"/>
      <c r="G7" s="48"/>
      <c r="H7" s="48"/>
      <c r="I7" s="48"/>
      <c r="J7" s="48"/>
      <c r="K7" s="48"/>
      <c r="L7" s="48"/>
      <c r="M7" s="48"/>
      <c r="N7" s="48"/>
      <c r="O7" s="48"/>
      <c r="P7" s="48"/>
      <c r="Q7" s="48"/>
      <c r="R7" s="49"/>
      <c r="S7" s="33"/>
      <c r="T7" s="33"/>
      <c r="U7" s="33"/>
      <c r="V7" s="34"/>
    </row>
    <row r="8" spans="1:22" ht="14.55" customHeight="1" thickBot="1" x14ac:dyDescent="0.35">
      <c r="A8" s="68"/>
      <c r="B8" s="39"/>
      <c r="C8" s="39"/>
      <c r="D8" s="69"/>
      <c r="E8" s="47"/>
      <c r="F8" s="48"/>
      <c r="G8" s="48"/>
      <c r="H8" s="48"/>
      <c r="I8" s="48"/>
      <c r="J8" s="48"/>
      <c r="K8" s="48"/>
      <c r="L8" s="48"/>
      <c r="M8" s="48"/>
      <c r="N8" s="48"/>
      <c r="O8" s="48"/>
      <c r="P8" s="48"/>
      <c r="Q8" s="48"/>
      <c r="R8" s="49"/>
      <c r="S8" s="35"/>
      <c r="T8" s="35"/>
      <c r="U8" s="35"/>
      <c r="V8" s="36"/>
    </row>
    <row r="9" spans="1:22" ht="14.55" customHeight="1" x14ac:dyDescent="0.3">
      <c r="A9" s="70"/>
      <c r="B9" s="40"/>
      <c r="C9" s="40"/>
      <c r="D9" s="71"/>
      <c r="E9" s="47"/>
      <c r="F9" s="48"/>
      <c r="G9" s="48"/>
      <c r="H9" s="48"/>
      <c r="I9" s="48"/>
      <c r="J9" s="48"/>
      <c r="K9" s="48"/>
      <c r="L9" s="48"/>
      <c r="M9" s="48"/>
      <c r="N9" s="48"/>
      <c r="O9" s="48"/>
      <c r="P9" s="48"/>
      <c r="Q9" s="48"/>
      <c r="R9" s="49"/>
      <c r="S9" s="25" t="s">
        <v>93</v>
      </c>
      <c r="T9" s="25"/>
      <c r="U9" s="25"/>
      <c r="V9" s="26"/>
    </row>
    <row r="10" spans="1:22" ht="14.55" customHeight="1" x14ac:dyDescent="0.3">
      <c r="A10" s="72" t="s">
        <v>89</v>
      </c>
      <c r="B10" s="38"/>
      <c r="C10" s="38"/>
      <c r="D10" s="73"/>
      <c r="E10" s="47"/>
      <c r="F10" s="48"/>
      <c r="G10" s="48"/>
      <c r="H10" s="48"/>
      <c r="I10" s="48"/>
      <c r="J10" s="48"/>
      <c r="K10" s="48"/>
      <c r="L10" s="48"/>
      <c r="M10" s="48"/>
      <c r="N10" s="48"/>
      <c r="O10" s="48"/>
      <c r="P10" s="48"/>
      <c r="Q10" s="48"/>
      <c r="R10" s="49"/>
      <c r="S10" s="27"/>
      <c r="T10" s="27"/>
      <c r="U10" s="27"/>
      <c r="V10" s="28"/>
    </row>
    <row r="11" spans="1:22" ht="14.55" customHeight="1" x14ac:dyDescent="0.3">
      <c r="A11" s="72"/>
      <c r="B11" s="38"/>
      <c r="C11" s="38"/>
      <c r="D11" s="73"/>
      <c r="E11" s="47"/>
      <c r="F11" s="48"/>
      <c r="G11" s="48"/>
      <c r="H11" s="48"/>
      <c r="I11" s="48"/>
      <c r="J11" s="48"/>
      <c r="K11" s="48"/>
      <c r="L11" s="48"/>
      <c r="M11" s="48"/>
      <c r="N11" s="48"/>
      <c r="O11" s="48"/>
      <c r="P11" s="48"/>
      <c r="Q11" s="48"/>
      <c r="R11" s="49"/>
      <c r="S11" s="27"/>
      <c r="T11" s="27"/>
      <c r="U11" s="27"/>
      <c r="V11" s="28"/>
    </row>
    <row r="12" spans="1:22" ht="14.55" customHeight="1" x14ac:dyDescent="0.3">
      <c r="A12" s="72"/>
      <c r="B12" s="38"/>
      <c r="C12" s="38"/>
      <c r="D12" s="73"/>
      <c r="E12" s="47"/>
      <c r="F12" s="48"/>
      <c r="G12" s="48"/>
      <c r="H12" s="48"/>
      <c r="I12" s="48"/>
      <c r="J12" s="48"/>
      <c r="K12" s="48"/>
      <c r="L12" s="48"/>
      <c r="M12" s="48"/>
      <c r="N12" s="48"/>
      <c r="O12" s="48"/>
      <c r="P12" s="48"/>
      <c r="Q12" s="48"/>
      <c r="R12" s="49"/>
      <c r="S12" s="27"/>
      <c r="T12" s="27"/>
      <c r="U12" s="27"/>
      <c r="V12" s="28"/>
    </row>
    <row r="13" spans="1:22" ht="14.4" customHeight="1" x14ac:dyDescent="0.3">
      <c r="A13" s="72"/>
      <c r="B13" s="38"/>
      <c r="C13" s="38"/>
      <c r="D13" s="73"/>
      <c r="E13" s="47"/>
      <c r="F13" s="48"/>
      <c r="G13" s="48"/>
      <c r="H13" s="48"/>
      <c r="I13" s="48"/>
      <c r="J13" s="48"/>
      <c r="K13" s="48"/>
      <c r="L13" s="48"/>
      <c r="M13" s="48"/>
      <c r="N13" s="48"/>
      <c r="O13" s="48"/>
      <c r="P13" s="48"/>
      <c r="Q13" s="48"/>
      <c r="R13" s="49"/>
      <c r="S13" s="27"/>
      <c r="T13" s="27"/>
      <c r="U13" s="27"/>
      <c r="V13" s="28"/>
    </row>
    <row r="14" spans="1:22" ht="15" customHeight="1" thickBot="1" x14ac:dyDescent="0.35">
      <c r="A14" s="74" t="str">
        <f>PIVOT!A10</f>
        <v>Headphones</v>
      </c>
      <c r="B14" s="37"/>
      <c r="C14" s="37"/>
      <c r="D14" s="75"/>
      <c r="E14" s="47"/>
      <c r="F14" s="48"/>
      <c r="G14" s="48"/>
      <c r="H14" s="48"/>
      <c r="I14" s="48"/>
      <c r="J14" s="48"/>
      <c r="K14" s="48"/>
      <c r="L14" s="48"/>
      <c r="M14" s="48"/>
      <c r="N14" s="48"/>
      <c r="O14" s="48"/>
      <c r="P14" s="48"/>
      <c r="Q14" s="48"/>
      <c r="R14" s="49"/>
      <c r="S14" s="29"/>
      <c r="T14" s="29"/>
      <c r="U14" s="29"/>
      <c r="V14" s="30"/>
    </row>
    <row r="15" spans="1:22" x14ac:dyDescent="0.3">
      <c r="A15" s="74"/>
      <c r="B15" s="37"/>
      <c r="C15" s="37"/>
      <c r="D15" s="75"/>
      <c r="E15" s="47"/>
      <c r="F15" s="48"/>
      <c r="G15" s="48"/>
      <c r="H15" s="48"/>
      <c r="I15" s="48"/>
      <c r="J15" s="48"/>
      <c r="K15" s="48"/>
      <c r="L15" s="48"/>
      <c r="M15" s="48"/>
      <c r="N15" s="48"/>
      <c r="O15" s="48"/>
      <c r="P15" s="48"/>
      <c r="Q15" s="48"/>
      <c r="R15" s="49"/>
      <c r="S15" s="25" t="s">
        <v>94</v>
      </c>
      <c r="T15" s="25"/>
      <c r="U15" s="25"/>
      <c r="V15" s="26"/>
    </row>
    <row r="16" spans="1:22" x14ac:dyDescent="0.3">
      <c r="A16" s="74"/>
      <c r="B16" s="37"/>
      <c r="C16" s="37"/>
      <c r="D16" s="75"/>
      <c r="E16" s="47"/>
      <c r="F16" s="48"/>
      <c r="G16" s="48"/>
      <c r="H16" s="48"/>
      <c r="I16" s="48"/>
      <c r="J16" s="48"/>
      <c r="K16" s="48"/>
      <c r="L16" s="48"/>
      <c r="M16" s="48"/>
      <c r="N16" s="48"/>
      <c r="O16" s="48"/>
      <c r="P16" s="48"/>
      <c r="Q16" s="48"/>
      <c r="R16" s="49"/>
      <c r="S16" s="27"/>
      <c r="T16" s="27"/>
      <c r="U16" s="27"/>
      <c r="V16" s="28"/>
    </row>
    <row r="17" spans="1:22" x14ac:dyDescent="0.3">
      <c r="A17" s="76" t="s">
        <v>90</v>
      </c>
      <c r="B17" s="42"/>
      <c r="C17" s="42"/>
      <c r="D17" s="77"/>
      <c r="E17" s="47"/>
      <c r="F17" s="48"/>
      <c r="G17" s="48"/>
      <c r="H17" s="48"/>
      <c r="I17" s="48"/>
      <c r="J17" s="48"/>
      <c r="K17" s="48"/>
      <c r="L17" s="48"/>
      <c r="M17" s="48"/>
      <c r="N17" s="48"/>
      <c r="O17" s="48"/>
      <c r="P17" s="48"/>
      <c r="Q17" s="48"/>
      <c r="R17" s="49"/>
      <c r="S17" s="27"/>
      <c r="T17" s="27"/>
      <c r="U17" s="27"/>
      <c r="V17" s="28"/>
    </row>
    <row r="18" spans="1:22" x14ac:dyDescent="0.3">
      <c r="A18" s="76"/>
      <c r="B18" s="42"/>
      <c r="C18" s="42"/>
      <c r="D18" s="77"/>
      <c r="E18" s="47"/>
      <c r="F18" s="48"/>
      <c r="G18" s="48"/>
      <c r="H18" s="48"/>
      <c r="I18" s="48"/>
      <c r="J18" s="48"/>
      <c r="K18" s="48"/>
      <c r="L18" s="48"/>
      <c r="M18" s="48"/>
      <c r="N18" s="48"/>
      <c r="O18" s="48"/>
      <c r="P18" s="48"/>
      <c r="Q18" s="48"/>
      <c r="R18" s="49"/>
      <c r="S18" s="27"/>
      <c r="T18" s="27"/>
      <c r="U18" s="27"/>
      <c r="V18" s="28"/>
    </row>
    <row r="19" spans="1:22" ht="15" thickBot="1" x14ac:dyDescent="0.35">
      <c r="A19" s="76"/>
      <c r="B19" s="42"/>
      <c r="C19" s="42"/>
      <c r="D19" s="77"/>
      <c r="E19" s="47"/>
      <c r="F19" s="48"/>
      <c r="G19" s="48"/>
      <c r="H19" s="48"/>
      <c r="I19" s="48"/>
      <c r="J19" s="48"/>
      <c r="K19" s="48"/>
      <c r="L19" s="48"/>
      <c r="M19" s="48"/>
      <c r="N19" s="48"/>
      <c r="O19" s="48"/>
      <c r="P19" s="48"/>
      <c r="Q19" s="48"/>
      <c r="R19" s="49"/>
      <c r="S19" s="29"/>
      <c r="T19" s="29"/>
      <c r="U19" s="29"/>
      <c r="V19" s="30"/>
    </row>
    <row r="20" spans="1:22" x14ac:dyDescent="0.3">
      <c r="A20" s="76"/>
      <c r="B20" s="42"/>
      <c r="C20" s="42"/>
      <c r="D20" s="77"/>
      <c r="E20" s="47"/>
      <c r="F20" s="48"/>
      <c r="G20" s="48"/>
      <c r="H20" s="48"/>
      <c r="I20" s="48"/>
      <c r="J20" s="48"/>
      <c r="K20" s="48"/>
      <c r="L20" s="48"/>
      <c r="M20" s="48"/>
      <c r="N20" s="48"/>
      <c r="O20" s="48"/>
      <c r="P20" s="48"/>
      <c r="Q20" s="48"/>
      <c r="R20" s="48"/>
      <c r="S20" s="57" t="s">
        <v>95</v>
      </c>
      <c r="T20" s="24"/>
      <c r="U20" s="24"/>
      <c r="V20" s="52"/>
    </row>
    <row r="21" spans="1:22" x14ac:dyDescent="0.3">
      <c r="A21" s="78" t="str">
        <f>INDEX('Sales Data'!$C$2:$C$51,MATCH(MAX('Sales Data'!$E$2:$E$51),'Sales Data'!$E$2:$E$51,0))</f>
        <v>South</v>
      </c>
      <c r="B21" s="43"/>
      <c r="C21" s="43"/>
      <c r="D21" s="60"/>
      <c r="E21" s="47"/>
      <c r="F21" s="48"/>
      <c r="G21" s="48"/>
      <c r="H21" s="48"/>
      <c r="I21" s="48"/>
      <c r="J21" s="48"/>
      <c r="K21" s="48"/>
      <c r="L21" s="48"/>
      <c r="M21" s="48"/>
      <c r="N21" s="48"/>
      <c r="O21" s="48"/>
      <c r="P21" s="48"/>
      <c r="Q21" s="48"/>
      <c r="R21" s="48"/>
      <c r="S21" s="58"/>
      <c r="T21" s="53"/>
      <c r="U21" s="53"/>
      <c r="V21" s="54"/>
    </row>
    <row r="22" spans="1:22" x14ac:dyDescent="0.3">
      <c r="A22" s="78"/>
      <c r="B22" s="43"/>
      <c r="C22" s="43"/>
      <c r="D22" s="60"/>
      <c r="E22" s="47"/>
      <c r="F22" s="48"/>
      <c r="G22" s="48"/>
      <c r="H22" s="48"/>
      <c r="I22" s="48"/>
      <c r="J22" s="48"/>
      <c r="K22" s="48"/>
      <c r="L22" s="48"/>
      <c r="M22" s="48"/>
      <c r="N22" s="48"/>
      <c r="O22" s="48"/>
      <c r="P22" s="48"/>
      <c r="Q22" s="48"/>
      <c r="R22" s="48"/>
      <c r="S22" s="58"/>
      <c r="T22" s="53"/>
      <c r="U22" s="53"/>
      <c r="V22" s="54"/>
    </row>
    <row r="23" spans="1:22" ht="15" thickBot="1" x14ac:dyDescent="0.35">
      <c r="A23" s="79"/>
      <c r="B23" s="61"/>
      <c r="C23" s="61"/>
      <c r="D23" s="62"/>
      <c r="E23" s="50"/>
      <c r="F23" s="51"/>
      <c r="G23" s="51"/>
      <c r="H23" s="51"/>
      <c r="I23" s="51"/>
      <c r="J23" s="51"/>
      <c r="K23" s="51"/>
      <c r="L23" s="51"/>
      <c r="M23" s="51"/>
      <c r="N23" s="51"/>
      <c r="O23" s="51"/>
      <c r="P23" s="51"/>
      <c r="Q23" s="51"/>
      <c r="R23" s="51"/>
      <c r="S23" s="59"/>
      <c r="T23" s="55"/>
      <c r="U23" s="55"/>
      <c r="V23" s="56"/>
    </row>
    <row r="24" spans="1:22" ht="15" thickTop="1" x14ac:dyDescent="0.3"/>
    <row r="136" spans="1:1" x14ac:dyDescent="0.3">
      <c r="A136" s="19"/>
    </row>
  </sheetData>
  <mergeCells count="12">
    <mergeCell ref="S1:V2"/>
    <mergeCell ref="S3:V8"/>
    <mergeCell ref="S9:V14"/>
    <mergeCell ref="S15:V19"/>
    <mergeCell ref="S20:V23"/>
    <mergeCell ref="A1:R2"/>
    <mergeCell ref="A3:D6"/>
    <mergeCell ref="A7:D9"/>
    <mergeCell ref="A10:D13"/>
    <mergeCell ref="A14:D16"/>
    <mergeCell ref="A17:D20"/>
    <mergeCell ref="A21:D2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
  <sheetViews>
    <sheetView zoomScale="78" workbookViewId="0">
      <selection sqref="A1:F50"/>
    </sheetView>
  </sheetViews>
  <sheetFormatPr defaultRowHeight="14.4" x14ac:dyDescent="0.3"/>
  <cols>
    <col min="1" max="1" width="12" customWidth="1"/>
    <col min="2" max="2" width="18" customWidth="1"/>
    <col min="3" max="3" width="12" customWidth="1"/>
    <col min="4" max="4" width="14" customWidth="1"/>
    <col min="5" max="5" width="22.5546875" customWidth="1"/>
    <col min="6" max="6" width="22.44140625" customWidth="1"/>
  </cols>
  <sheetData>
    <row r="1" spans="1:6" ht="25.05" customHeight="1" x14ac:dyDescent="0.3">
      <c r="A1" s="7" t="s">
        <v>0</v>
      </c>
      <c r="B1" s="8" t="s">
        <v>1</v>
      </c>
      <c r="C1" s="8" t="s">
        <v>2</v>
      </c>
      <c r="D1" s="8" t="s">
        <v>3</v>
      </c>
      <c r="E1" s="8" t="s">
        <v>4</v>
      </c>
      <c r="F1" s="9" t="s">
        <v>5</v>
      </c>
    </row>
    <row r="2" spans="1:6" x14ac:dyDescent="0.3">
      <c r="A2" s="3" t="s">
        <v>6</v>
      </c>
      <c r="B2" s="1" t="s">
        <v>7</v>
      </c>
      <c r="C2" s="1" t="s">
        <v>8</v>
      </c>
      <c r="D2" s="1" t="s">
        <v>9</v>
      </c>
      <c r="E2" s="1">
        <v>13149.11</v>
      </c>
      <c r="F2" s="5">
        <v>2054.58</v>
      </c>
    </row>
    <row r="3" spans="1:6" x14ac:dyDescent="0.3">
      <c r="A3" s="4" t="s">
        <v>10</v>
      </c>
      <c r="B3" s="2" t="s">
        <v>11</v>
      </c>
      <c r="C3" s="2" t="s">
        <v>12</v>
      </c>
      <c r="D3" s="2" t="s">
        <v>13</v>
      </c>
      <c r="E3" s="2">
        <v>3651.22</v>
      </c>
      <c r="F3" s="6">
        <v>641.24</v>
      </c>
    </row>
    <row r="4" spans="1:6" x14ac:dyDescent="0.3">
      <c r="A4" s="3" t="s">
        <v>14</v>
      </c>
      <c r="B4" s="1" t="s">
        <v>15</v>
      </c>
      <c r="C4" s="1" t="s">
        <v>8</v>
      </c>
      <c r="D4" s="1" t="s">
        <v>16</v>
      </c>
      <c r="E4" s="1">
        <v>9016.51</v>
      </c>
      <c r="F4" s="5">
        <v>1419.64</v>
      </c>
    </row>
    <row r="5" spans="1:6" x14ac:dyDescent="0.3">
      <c r="A5" s="4" t="s">
        <v>17</v>
      </c>
      <c r="B5" s="2" t="s">
        <v>11</v>
      </c>
      <c r="C5" s="2" t="s">
        <v>18</v>
      </c>
      <c r="D5" s="2" t="s">
        <v>9</v>
      </c>
      <c r="E5" s="2">
        <v>12438.36</v>
      </c>
      <c r="F5" s="6">
        <v>3611</v>
      </c>
    </row>
    <row r="6" spans="1:6" x14ac:dyDescent="0.3">
      <c r="A6" s="3" t="s">
        <v>19</v>
      </c>
      <c r="B6" s="1" t="s">
        <v>20</v>
      </c>
      <c r="C6" s="1" t="s">
        <v>8</v>
      </c>
      <c r="D6" s="1" t="s">
        <v>21</v>
      </c>
      <c r="E6" s="1">
        <v>9534.9699999999993</v>
      </c>
      <c r="F6" s="5">
        <v>2093.38</v>
      </c>
    </row>
    <row r="7" spans="1:6" x14ac:dyDescent="0.3">
      <c r="A7" s="4" t="s">
        <v>22</v>
      </c>
      <c r="B7" s="2" t="s">
        <v>15</v>
      </c>
      <c r="C7" s="2" t="s">
        <v>23</v>
      </c>
      <c r="D7" s="2" t="s">
        <v>24</v>
      </c>
      <c r="E7" s="2">
        <v>9029.67</v>
      </c>
      <c r="F7" s="6">
        <v>1981.72</v>
      </c>
    </row>
    <row r="8" spans="1:6" x14ac:dyDescent="0.3">
      <c r="A8" s="3" t="s">
        <v>25</v>
      </c>
      <c r="B8" s="1" t="s">
        <v>26</v>
      </c>
      <c r="C8" s="1" t="s">
        <v>27</v>
      </c>
      <c r="D8" s="1" t="s">
        <v>28</v>
      </c>
      <c r="E8" s="1">
        <v>2762.17</v>
      </c>
      <c r="F8" s="5">
        <v>481.11</v>
      </c>
    </row>
    <row r="9" spans="1:6" x14ac:dyDescent="0.3">
      <c r="A9" s="4" t="s">
        <v>29</v>
      </c>
      <c r="B9" s="2" t="s">
        <v>11</v>
      </c>
      <c r="C9" s="2" t="s">
        <v>12</v>
      </c>
      <c r="D9" s="2" t="s">
        <v>30</v>
      </c>
      <c r="E9" s="2">
        <v>16335.44</v>
      </c>
      <c r="F9" s="6">
        <v>5430.44</v>
      </c>
    </row>
    <row r="10" spans="1:6" x14ac:dyDescent="0.3">
      <c r="A10" s="3" t="s">
        <v>31</v>
      </c>
      <c r="B10" s="1" t="s">
        <v>32</v>
      </c>
      <c r="C10" s="1" t="s">
        <v>23</v>
      </c>
      <c r="D10" s="1" t="s">
        <v>13</v>
      </c>
      <c r="E10" s="1">
        <v>2497.1999999999998</v>
      </c>
      <c r="F10" s="5">
        <v>557.61</v>
      </c>
    </row>
    <row r="11" spans="1:6" x14ac:dyDescent="0.3">
      <c r="A11" s="4" t="s">
        <v>33</v>
      </c>
      <c r="B11" s="2" t="s">
        <v>15</v>
      </c>
      <c r="C11" s="2" t="s">
        <v>23</v>
      </c>
      <c r="D11" s="2" t="s">
        <v>24</v>
      </c>
      <c r="E11" s="2">
        <v>4653.4799999999996</v>
      </c>
      <c r="F11" s="6">
        <v>778.94</v>
      </c>
    </row>
    <row r="12" spans="1:6" x14ac:dyDescent="0.3">
      <c r="A12" s="3" t="s">
        <v>34</v>
      </c>
      <c r="B12" s="1" t="s">
        <v>35</v>
      </c>
      <c r="C12" s="1" t="s">
        <v>23</v>
      </c>
      <c r="D12" s="1" t="s">
        <v>36</v>
      </c>
      <c r="E12" s="1">
        <v>17251.04</v>
      </c>
      <c r="F12" s="5">
        <v>6324.59</v>
      </c>
    </row>
    <row r="13" spans="1:6" x14ac:dyDescent="0.3">
      <c r="A13" s="4" t="s">
        <v>37</v>
      </c>
      <c r="B13" s="2" t="s">
        <v>26</v>
      </c>
      <c r="C13" s="2" t="s">
        <v>23</v>
      </c>
      <c r="D13" s="2" t="s">
        <v>9</v>
      </c>
      <c r="E13" s="2">
        <v>13078</v>
      </c>
      <c r="F13" s="6">
        <v>3154.52</v>
      </c>
    </row>
    <row r="14" spans="1:6" x14ac:dyDescent="0.3">
      <c r="A14" s="3" t="s">
        <v>38</v>
      </c>
      <c r="B14" s="1" t="s">
        <v>39</v>
      </c>
      <c r="C14" s="1" t="s">
        <v>27</v>
      </c>
      <c r="D14" s="1" t="s">
        <v>40</v>
      </c>
      <c r="E14" s="1">
        <v>13733.33</v>
      </c>
      <c r="F14" s="5">
        <v>4469.58</v>
      </c>
    </row>
    <row r="15" spans="1:6" x14ac:dyDescent="0.3">
      <c r="A15" s="4" t="s">
        <v>41</v>
      </c>
      <c r="B15" s="2" t="s">
        <v>42</v>
      </c>
      <c r="C15" s="2" t="s">
        <v>18</v>
      </c>
      <c r="D15" s="2" t="s">
        <v>30</v>
      </c>
      <c r="E15" s="2">
        <v>4251.63</v>
      </c>
      <c r="F15" s="6">
        <v>1412.74</v>
      </c>
    </row>
    <row r="16" spans="1:6" x14ac:dyDescent="0.3">
      <c r="A16" s="3" t="s">
        <v>43</v>
      </c>
      <c r="B16" s="1" t="s">
        <v>11</v>
      </c>
      <c r="C16" s="1" t="s">
        <v>8</v>
      </c>
      <c r="D16" s="1" t="s">
        <v>40</v>
      </c>
      <c r="E16" s="1">
        <v>6129.01</v>
      </c>
      <c r="F16" s="5">
        <v>2337.2800000000002</v>
      </c>
    </row>
    <row r="17" spans="1:6" x14ac:dyDescent="0.3">
      <c r="A17" s="4" t="s">
        <v>44</v>
      </c>
      <c r="B17" s="2" t="s">
        <v>20</v>
      </c>
      <c r="C17" s="2" t="s">
        <v>8</v>
      </c>
      <c r="D17" s="2" t="s">
        <v>45</v>
      </c>
      <c r="E17" s="2">
        <v>7161.37</v>
      </c>
      <c r="F17" s="6">
        <v>2449.75</v>
      </c>
    </row>
    <row r="18" spans="1:6" x14ac:dyDescent="0.3">
      <c r="A18" s="3" t="s">
        <v>46</v>
      </c>
      <c r="B18" s="1" t="s">
        <v>39</v>
      </c>
      <c r="C18" s="1" t="s">
        <v>8</v>
      </c>
      <c r="D18" s="1" t="s">
        <v>13</v>
      </c>
      <c r="E18" s="1">
        <v>16295.87</v>
      </c>
      <c r="F18" s="5">
        <v>4078.71</v>
      </c>
    </row>
    <row r="19" spans="1:6" x14ac:dyDescent="0.3">
      <c r="A19" s="4" t="s">
        <v>47</v>
      </c>
      <c r="B19" s="2" t="s">
        <v>48</v>
      </c>
      <c r="C19" s="2" t="s">
        <v>18</v>
      </c>
      <c r="D19" s="2" t="s">
        <v>40</v>
      </c>
      <c r="E19" s="2">
        <v>17650.98</v>
      </c>
      <c r="F19" s="6">
        <v>4036.24</v>
      </c>
    </row>
    <row r="20" spans="1:6" x14ac:dyDescent="0.3">
      <c r="A20" s="3" t="s">
        <v>49</v>
      </c>
      <c r="B20" s="1" t="s">
        <v>15</v>
      </c>
      <c r="C20" s="1" t="s">
        <v>27</v>
      </c>
      <c r="D20" s="1" t="s">
        <v>16</v>
      </c>
      <c r="E20" s="1">
        <v>9718.19</v>
      </c>
      <c r="F20" s="5">
        <v>2101.27</v>
      </c>
    </row>
    <row r="21" spans="1:6" x14ac:dyDescent="0.3">
      <c r="A21" s="4" t="s">
        <v>50</v>
      </c>
      <c r="B21" s="2" t="s">
        <v>32</v>
      </c>
      <c r="C21" s="2" t="s">
        <v>18</v>
      </c>
      <c r="D21" s="2" t="s">
        <v>51</v>
      </c>
      <c r="E21" s="2">
        <v>5992.09</v>
      </c>
      <c r="F21" s="6">
        <v>1774.54</v>
      </c>
    </row>
    <row r="22" spans="1:6" x14ac:dyDescent="0.3">
      <c r="A22" s="3" t="s">
        <v>52</v>
      </c>
      <c r="B22" s="1" t="s">
        <v>11</v>
      </c>
      <c r="C22" s="1" t="s">
        <v>18</v>
      </c>
      <c r="D22" s="1" t="s">
        <v>24</v>
      </c>
      <c r="E22" s="1">
        <v>5167.09</v>
      </c>
      <c r="F22" s="5">
        <v>2063.66</v>
      </c>
    </row>
    <row r="23" spans="1:6" x14ac:dyDescent="0.3">
      <c r="A23" s="4" t="s">
        <v>53</v>
      </c>
      <c r="B23" s="2" t="s">
        <v>42</v>
      </c>
      <c r="C23" s="2" t="s">
        <v>8</v>
      </c>
      <c r="D23" s="2" t="s">
        <v>40</v>
      </c>
      <c r="E23" s="2">
        <v>15359.86</v>
      </c>
      <c r="F23" s="6">
        <v>5610.58</v>
      </c>
    </row>
    <row r="24" spans="1:6" x14ac:dyDescent="0.3">
      <c r="A24" s="3" t="s">
        <v>54</v>
      </c>
      <c r="B24" s="1" t="s">
        <v>35</v>
      </c>
      <c r="C24" s="1" t="s">
        <v>27</v>
      </c>
      <c r="D24" s="1" t="s">
        <v>36</v>
      </c>
      <c r="E24" s="1">
        <v>9021.0400000000009</v>
      </c>
      <c r="F24" s="5">
        <v>1496.43</v>
      </c>
    </row>
    <row r="25" spans="1:6" x14ac:dyDescent="0.3">
      <c r="A25" s="4" t="s">
        <v>55</v>
      </c>
      <c r="B25" s="2" t="s">
        <v>20</v>
      </c>
      <c r="C25" s="2" t="s">
        <v>12</v>
      </c>
      <c r="D25" s="2" t="s">
        <v>40</v>
      </c>
      <c r="E25" s="2">
        <v>11053.17</v>
      </c>
      <c r="F25" s="6">
        <v>4341.3500000000004</v>
      </c>
    </row>
    <row r="26" spans="1:6" x14ac:dyDescent="0.3">
      <c r="A26" s="3" t="s">
        <v>56</v>
      </c>
      <c r="B26" s="1" t="s">
        <v>26</v>
      </c>
      <c r="C26" s="1" t="s">
        <v>12</v>
      </c>
      <c r="D26" s="1" t="s">
        <v>28</v>
      </c>
      <c r="E26" s="1">
        <v>17810.98</v>
      </c>
      <c r="F26" s="5">
        <v>6015.11</v>
      </c>
    </row>
    <row r="27" spans="1:6" x14ac:dyDescent="0.3">
      <c r="A27" s="4" t="s">
        <v>57</v>
      </c>
      <c r="B27" s="2" t="s">
        <v>7</v>
      </c>
      <c r="C27" s="2" t="s">
        <v>27</v>
      </c>
      <c r="D27" s="2" t="s">
        <v>58</v>
      </c>
      <c r="E27" s="2">
        <v>9260.5400000000009</v>
      </c>
      <c r="F27" s="6">
        <v>2439.5100000000002</v>
      </c>
    </row>
    <row r="28" spans="1:6" x14ac:dyDescent="0.3">
      <c r="A28" s="3" t="s">
        <v>59</v>
      </c>
      <c r="B28" s="1" t="s">
        <v>7</v>
      </c>
      <c r="C28" s="1" t="s">
        <v>27</v>
      </c>
      <c r="D28" s="1" t="s">
        <v>13</v>
      </c>
      <c r="E28" s="1">
        <v>10645.95</v>
      </c>
      <c r="F28" s="5">
        <v>1880.1</v>
      </c>
    </row>
    <row r="29" spans="1:6" x14ac:dyDescent="0.3">
      <c r="A29" s="4" t="s">
        <v>60</v>
      </c>
      <c r="B29" s="2" t="s">
        <v>42</v>
      </c>
      <c r="C29" s="2" t="s">
        <v>27</v>
      </c>
      <c r="D29" s="2" t="s">
        <v>16</v>
      </c>
      <c r="E29" s="2">
        <v>4779.3100000000004</v>
      </c>
      <c r="F29" s="6">
        <v>1163.6600000000001</v>
      </c>
    </row>
    <row r="30" spans="1:6" x14ac:dyDescent="0.3">
      <c r="A30" s="3" t="s">
        <v>61</v>
      </c>
      <c r="B30" s="1" t="s">
        <v>48</v>
      </c>
      <c r="C30" s="1" t="s">
        <v>12</v>
      </c>
      <c r="D30" s="1" t="s">
        <v>24</v>
      </c>
      <c r="E30" s="1">
        <v>18451.38</v>
      </c>
      <c r="F30" s="5">
        <v>5530.55</v>
      </c>
    </row>
    <row r="31" spans="1:6" x14ac:dyDescent="0.3">
      <c r="A31" s="4" t="s">
        <v>62</v>
      </c>
      <c r="B31" s="2" t="s">
        <v>7</v>
      </c>
      <c r="C31" s="2" t="s">
        <v>8</v>
      </c>
      <c r="D31" s="2" t="s">
        <v>45</v>
      </c>
      <c r="E31" s="2">
        <v>18652.87</v>
      </c>
      <c r="F31" s="6">
        <v>6895.6</v>
      </c>
    </row>
    <row r="32" spans="1:6" x14ac:dyDescent="0.3">
      <c r="A32" s="3" t="s">
        <v>63</v>
      </c>
      <c r="B32" s="1" t="s">
        <v>39</v>
      </c>
      <c r="C32" s="1" t="s">
        <v>12</v>
      </c>
      <c r="D32" s="1" t="s">
        <v>21</v>
      </c>
      <c r="E32" s="1">
        <v>5576.56</v>
      </c>
      <c r="F32" s="5">
        <v>1627.46</v>
      </c>
    </row>
    <row r="33" spans="1:6" x14ac:dyDescent="0.3">
      <c r="A33" s="4" t="s">
        <v>64</v>
      </c>
      <c r="B33" s="2" t="s">
        <v>11</v>
      </c>
      <c r="C33" s="2" t="s">
        <v>8</v>
      </c>
      <c r="D33" s="2" t="s">
        <v>58</v>
      </c>
      <c r="E33" s="2">
        <v>10233.82</v>
      </c>
      <c r="F33" s="6">
        <v>1712.15</v>
      </c>
    </row>
    <row r="34" spans="1:6" x14ac:dyDescent="0.3">
      <c r="A34" s="3" t="s">
        <v>65</v>
      </c>
      <c r="B34" s="1" t="s">
        <v>42</v>
      </c>
      <c r="C34" s="1" t="s">
        <v>23</v>
      </c>
      <c r="D34" s="1" t="s">
        <v>16</v>
      </c>
      <c r="E34" s="1">
        <v>13535.27</v>
      </c>
      <c r="F34" s="5">
        <v>5234.25</v>
      </c>
    </row>
    <row r="35" spans="1:6" x14ac:dyDescent="0.3">
      <c r="A35" s="4" t="s">
        <v>66</v>
      </c>
      <c r="B35" s="2" t="s">
        <v>15</v>
      </c>
      <c r="C35" s="2" t="s">
        <v>27</v>
      </c>
      <c r="D35" s="2" t="s">
        <v>21</v>
      </c>
      <c r="E35" s="2">
        <v>17576.23</v>
      </c>
      <c r="F35" s="6">
        <v>4495.7299999999996</v>
      </c>
    </row>
    <row r="36" spans="1:6" x14ac:dyDescent="0.3">
      <c r="A36" s="3" t="s">
        <v>67</v>
      </c>
      <c r="B36" s="1" t="s">
        <v>35</v>
      </c>
      <c r="C36" s="1" t="s">
        <v>23</v>
      </c>
      <c r="D36" s="1" t="s">
        <v>36</v>
      </c>
      <c r="E36" s="1">
        <v>14107.49</v>
      </c>
      <c r="F36" s="5">
        <v>4630.6000000000004</v>
      </c>
    </row>
    <row r="37" spans="1:6" x14ac:dyDescent="0.3">
      <c r="A37" s="4" t="s">
        <v>68</v>
      </c>
      <c r="B37" s="2" t="s">
        <v>15</v>
      </c>
      <c r="C37" s="2" t="s">
        <v>8</v>
      </c>
      <c r="D37" s="2" t="s">
        <v>24</v>
      </c>
      <c r="E37" s="2">
        <v>18092.669999999998</v>
      </c>
      <c r="F37" s="6">
        <v>4756.05</v>
      </c>
    </row>
    <row r="38" spans="1:6" x14ac:dyDescent="0.3">
      <c r="A38" s="3" t="s">
        <v>69</v>
      </c>
      <c r="B38" s="1" t="s">
        <v>15</v>
      </c>
      <c r="C38" s="1" t="s">
        <v>27</v>
      </c>
      <c r="D38" s="1" t="s">
        <v>9</v>
      </c>
      <c r="E38" s="1">
        <v>7423.63</v>
      </c>
      <c r="F38" s="5">
        <v>2205.39</v>
      </c>
    </row>
    <row r="39" spans="1:6" x14ac:dyDescent="0.3">
      <c r="A39" s="4" t="s">
        <v>70</v>
      </c>
      <c r="B39" s="2" t="s">
        <v>20</v>
      </c>
      <c r="C39" s="2" t="s">
        <v>8</v>
      </c>
      <c r="D39" s="2" t="s">
        <v>24</v>
      </c>
      <c r="E39" s="2">
        <v>1136.6300000000001</v>
      </c>
      <c r="F39" s="6">
        <v>371.63</v>
      </c>
    </row>
    <row r="40" spans="1:6" x14ac:dyDescent="0.3">
      <c r="A40" s="3" t="s">
        <v>71</v>
      </c>
      <c r="B40" s="1" t="s">
        <v>39</v>
      </c>
      <c r="C40" s="1" t="s">
        <v>27</v>
      </c>
      <c r="D40" s="1" t="s">
        <v>9</v>
      </c>
      <c r="E40" s="1">
        <v>18202.98</v>
      </c>
      <c r="F40" s="5">
        <v>6642.43</v>
      </c>
    </row>
    <row r="41" spans="1:6" x14ac:dyDescent="0.3">
      <c r="A41" s="4" t="s">
        <v>72</v>
      </c>
      <c r="B41" s="2" t="s">
        <v>11</v>
      </c>
      <c r="C41" s="2" t="s">
        <v>8</v>
      </c>
      <c r="D41" s="2" t="s">
        <v>21</v>
      </c>
      <c r="E41" s="2">
        <v>6291.07</v>
      </c>
      <c r="F41" s="6">
        <v>1707.1</v>
      </c>
    </row>
    <row r="42" spans="1:6" x14ac:dyDescent="0.3">
      <c r="A42" s="3" t="s">
        <v>73</v>
      </c>
      <c r="B42" s="1" t="s">
        <v>7</v>
      </c>
      <c r="C42" s="1" t="s">
        <v>8</v>
      </c>
      <c r="D42" s="1" t="s">
        <v>9</v>
      </c>
      <c r="E42" s="1">
        <v>12403.974269230799</v>
      </c>
      <c r="F42" s="5">
        <v>3960.8752692307698</v>
      </c>
    </row>
    <row r="43" spans="1:6" x14ac:dyDescent="0.3">
      <c r="A43" s="4" t="s">
        <v>74</v>
      </c>
      <c r="B43" s="2" t="s">
        <v>11</v>
      </c>
      <c r="C43" s="2" t="s">
        <v>12</v>
      </c>
      <c r="D43" s="2" t="s">
        <v>13</v>
      </c>
      <c r="E43" s="2">
        <v>12488.670355534699</v>
      </c>
      <c r="F43" s="6">
        <v>4005.2981848029999</v>
      </c>
    </row>
    <row r="44" spans="1:6" x14ac:dyDescent="0.3">
      <c r="A44" s="3" t="s">
        <v>75</v>
      </c>
      <c r="B44" s="1" t="s">
        <v>15</v>
      </c>
      <c r="C44" s="1" t="s">
        <v>8</v>
      </c>
      <c r="D44" s="1" t="s">
        <v>16</v>
      </c>
      <c r="E44" s="1">
        <v>12573.3664418387</v>
      </c>
      <c r="F44" s="5">
        <v>4049.72110037523</v>
      </c>
    </row>
    <row r="45" spans="1:6" x14ac:dyDescent="0.3">
      <c r="A45" s="4" t="s">
        <v>76</v>
      </c>
      <c r="B45" s="2" t="s">
        <v>11</v>
      </c>
      <c r="C45" s="2" t="s">
        <v>18</v>
      </c>
      <c r="D45" s="2" t="s">
        <v>9</v>
      </c>
      <c r="E45" s="2">
        <v>12658.0625281426</v>
      </c>
      <c r="F45" s="6">
        <v>4094.14401594746</v>
      </c>
    </row>
    <row r="46" spans="1:6" x14ac:dyDescent="0.3">
      <c r="A46" s="3" t="s">
        <v>77</v>
      </c>
      <c r="B46" s="1" t="s">
        <v>20</v>
      </c>
      <c r="C46" s="1" t="s">
        <v>8</v>
      </c>
      <c r="D46" s="1" t="s">
        <v>21</v>
      </c>
      <c r="E46" s="1">
        <v>12742.7586144465</v>
      </c>
      <c r="F46" s="5">
        <v>4138.5669315197001</v>
      </c>
    </row>
    <row r="47" spans="1:6" x14ac:dyDescent="0.3">
      <c r="A47" s="4" t="s">
        <v>78</v>
      </c>
      <c r="B47" s="2" t="s">
        <v>15</v>
      </c>
      <c r="C47" s="2" t="s">
        <v>23</v>
      </c>
      <c r="D47" s="2" t="s">
        <v>24</v>
      </c>
      <c r="E47" s="2">
        <v>12827.454700750501</v>
      </c>
      <c r="F47" s="6">
        <v>4182.9898470919297</v>
      </c>
    </row>
    <row r="48" spans="1:6" x14ac:dyDescent="0.3">
      <c r="A48" s="3" t="s">
        <v>79</v>
      </c>
      <c r="B48" s="1" t="s">
        <v>26</v>
      </c>
      <c r="C48" s="1" t="s">
        <v>27</v>
      </c>
      <c r="D48" s="1" t="s">
        <v>28</v>
      </c>
      <c r="E48" s="1">
        <v>12912.150787054399</v>
      </c>
      <c r="F48" s="5">
        <v>4227.4127626641603</v>
      </c>
    </row>
    <row r="49" spans="1:6" x14ac:dyDescent="0.3">
      <c r="A49" s="4" t="s">
        <v>80</v>
      </c>
      <c r="B49" s="2" t="s">
        <v>11</v>
      </c>
      <c r="C49" s="2" t="s">
        <v>12</v>
      </c>
      <c r="D49" s="2" t="s">
        <v>30</v>
      </c>
      <c r="E49" s="2">
        <v>12996.8468733584</v>
      </c>
      <c r="F49" s="6">
        <v>4271.8356782363899</v>
      </c>
    </row>
    <row r="50" spans="1:6" x14ac:dyDescent="0.3">
      <c r="A50" s="3" t="s">
        <v>81</v>
      </c>
      <c r="B50" s="1" t="s">
        <v>32</v>
      </c>
      <c r="C50" s="1" t="s">
        <v>23</v>
      </c>
      <c r="D50" s="1" t="s">
        <v>13</v>
      </c>
      <c r="E50" s="1">
        <v>13081.5429596623</v>
      </c>
      <c r="F50" s="5">
        <v>4316.2585938086304</v>
      </c>
    </row>
  </sheetData>
  <phoneticPr fontId="5"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KPI</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Rituparna Kundu</cp:lastModifiedBy>
  <dcterms:created xsi:type="dcterms:W3CDTF">2026-06-17T18:53:00Z</dcterms:created>
  <dcterms:modified xsi:type="dcterms:W3CDTF">2026-06-18T09:20:08Z</dcterms:modified>
</cp:coreProperties>
</file>